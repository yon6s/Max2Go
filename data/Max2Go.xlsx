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180" windowHeight="14020"/>
  </bookViews>
  <sheets>
    <sheet name="租决" sheetId="1" r:id="rId1"/>
  </sheets>
  <externalReferences>
    <externalReference r:id="rId2"/>
  </externalReferences>
  <definedNames>
    <definedName name="dw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<sst xmlns="http://schemas.openxmlformats.org/spreadsheetml/2006/main" count="494" uniqueCount="142">
  <si>
    <t>楼宇名称</t>
  </si>
  <si>
    <t>房号</t>
  </si>
  <si>
    <t>租决面积</t>
  </si>
  <si>
    <t>租决价格</t>
  </si>
  <si>
    <t>2月状态</t>
  </si>
  <si>
    <t>MAX科技园（上海·美兰湖）下沉广场</t>
  </si>
  <si>
    <t>B1F-01</t>
  </si>
  <si>
    <t>已租</t>
  </si>
  <si>
    <t>综合破底率</t>
  </si>
  <si>
    <t>破底率</t>
  </si>
  <si>
    <t>J回正年数</t>
  </si>
  <si>
    <t>B1F-02</t>
  </si>
  <si>
    <t>房源</t>
  </si>
  <si>
    <t>已报批一房一价</t>
  </si>
  <si>
    <t>现租约条件</t>
  </si>
  <si>
    <t>差额</t>
  </si>
  <si>
    <t>B1F-03</t>
  </si>
  <si>
    <t>B1F-04</t>
  </si>
  <si>
    <t>空置</t>
  </si>
  <si>
    <t>面积/㎡</t>
  </si>
  <si>
    <t>B1F-05</t>
  </si>
  <si>
    <t>单价/元/㎡.天</t>
  </si>
  <si>
    <t>B1F-06</t>
  </si>
  <si>
    <t>物业费/元/㎡.月</t>
  </si>
  <si>
    <t>B1F-07</t>
  </si>
  <si>
    <t>租金递增/</t>
  </si>
  <si>
    <t>三年递增5％</t>
  </si>
  <si>
    <t>无递增</t>
  </si>
  <si>
    <t>/</t>
  </si>
  <si>
    <t>B1F-08</t>
  </si>
  <si>
    <t>免租期/月</t>
  </si>
  <si>
    <t>3个月（1+1+1）</t>
  </si>
  <si>
    <t>3个月（2+1+0）</t>
  </si>
  <si>
    <t>B1F-09</t>
  </si>
  <si>
    <t>租期/年</t>
  </si>
  <si>
    <t>3年</t>
  </si>
  <si>
    <t>B1F-10</t>
  </si>
  <si>
    <t>合同周期内净租金</t>
  </si>
  <si>
    <t>B1F-11</t>
  </si>
  <si>
    <t>同期合同总额/元</t>
  </si>
  <si>
    <t>B1F-12</t>
  </si>
  <si>
    <t>同期物业费总额/元</t>
  </si>
  <si>
    <t>MAX科技园（上海·美兰湖）A座-商业</t>
  </si>
  <si>
    <t>特殊事项</t>
  </si>
  <si>
    <t>装修面积（㎡）</t>
  </si>
  <si>
    <t>（分摊走廊成本）</t>
  </si>
  <si>
    <t>精装</t>
  </si>
  <si>
    <t>装修总成本（元）
（坤瑞恒实测后提供）</t>
  </si>
  <si>
    <t>3年（5%）利息（元）</t>
  </si>
  <si>
    <t>本息合计（元）</t>
  </si>
  <si>
    <t>装修单方成本（元/㎡）</t>
  </si>
  <si>
    <t>3年租期租金溢价（元/㎡/天）</t>
  </si>
  <si>
    <t>自用</t>
  </si>
  <si>
    <t>MAX科技园（上海·美兰湖）A座-办公</t>
  </si>
  <si>
    <t>201</t>
  </si>
  <si>
    <t>分户改造</t>
  </si>
  <si>
    <t>202</t>
  </si>
  <si>
    <t>203</t>
  </si>
  <si>
    <t>204</t>
  </si>
  <si>
    <t>205</t>
  </si>
  <si>
    <t>206</t>
  </si>
  <si>
    <t>207-1</t>
  </si>
  <si>
    <t>207-2</t>
  </si>
  <si>
    <t>301-1</t>
  </si>
  <si>
    <t>301-2</t>
  </si>
  <si>
    <t>302</t>
  </si>
  <si>
    <t>401</t>
  </si>
  <si>
    <t>402</t>
  </si>
  <si>
    <t>403</t>
  </si>
  <si>
    <t>403-1</t>
  </si>
  <si>
    <t>404</t>
  </si>
  <si>
    <t>405</t>
  </si>
  <si>
    <t>406</t>
  </si>
  <si>
    <t>407</t>
  </si>
  <si>
    <t>408</t>
  </si>
  <si>
    <t>409</t>
  </si>
  <si>
    <t>410</t>
  </si>
  <si>
    <t>501-1</t>
  </si>
  <si>
    <t>501-2</t>
  </si>
  <si>
    <t>501-3</t>
  </si>
  <si>
    <t>502-1</t>
  </si>
  <si>
    <t>503</t>
  </si>
  <si>
    <t>504-1</t>
  </si>
  <si>
    <t>504-2</t>
  </si>
  <si>
    <t>505</t>
  </si>
  <si>
    <t>506</t>
  </si>
  <si>
    <t>507</t>
  </si>
  <si>
    <t>508</t>
  </si>
  <si>
    <t>509</t>
  </si>
  <si>
    <t>601-2</t>
  </si>
  <si>
    <t>602</t>
  </si>
  <si>
    <t>603</t>
  </si>
  <si>
    <t>604</t>
  </si>
  <si>
    <t>601-3</t>
  </si>
  <si>
    <t>601-1</t>
  </si>
  <si>
    <t>618</t>
  </si>
  <si>
    <t>604-3</t>
  </si>
  <si>
    <t>701-1</t>
  </si>
  <si>
    <t>701-2</t>
  </si>
  <si>
    <t>704-1</t>
  </si>
  <si>
    <t>705</t>
  </si>
  <si>
    <t>703-2</t>
  </si>
  <si>
    <t>703-1</t>
  </si>
  <si>
    <t>705-2</t>
  </si>
  <si>
    <t>705-1</t>
  </si>
  <si>
    <t>702-1</t>
  </si>
  <si>
    <t>702-2</t>
  </si>
  <si>
    <t>801-1</t>
  </si>
  <si>
    <t>801-2</t>
  </si>
  <si>
    <t>803-1</t>
  </si>
  <si>
    <t>803-2</t>
  </si>
  <si>
    <t>802-2</t>
  </si>
  <si>
    <t>802-1</t>
  </si>
  <si>
    <t>804-2</t>
  </si>
  <si>
    <t>804-3</t>
  </si>
  <si>
    <t>804-1</t>
  </si>
  <si>
    <t>1101-1</t>
  </si>
  <si>
    <t>1101-2</t>
  </si>
  <si>
    <t>1102-1</t>
  </si>
  <si>
    <t>1102-2</t>
  </si>
  <si>
    <t>1103</t>
  </si>
  <si>
    <t>1201-2</t>
  </si>
  <si>
    <t>1201-1</t>
  </si>
  <si>
    <t>1202-1</t>
  </si>
  <si>
    <t>1202-2</t>
  </si>
  <si>
    <t>1203-1</t>
  </si>
  <si>
    <t>1203-2</t>
  </si>
  <si>
    <t>1301</t>
  </si>
  <si>
    <t>1302</t>
  </si>
  <si>
    <t>1303</t>
  </si>
  <si>
    <t>MAX科技园（上海·美兰湖）B座-商业</t>
  </si>
  <si>
    <t>MAX科技园（上海·美兰湖）B座-办公</t>
  </si>
  <si>
    <t>307A</t>
  </si>
  <si>
    <t>307B</t>
  </si>
  <si>
    <t>308A</t>
  </si>
  <si>
    <t>308B</t>
  </si>
  <si>
    <t>501</t>
  </si>
  <si>
    <t>502</t>
  </si>
  <si>
    <t>504</t>
  </si>
  <si>
    <t>601</t>
  </si>
  <si>
    <t>701A</t>
  </si>
  <si>
    <t>701B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</si>
</sst>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%"/>
    <numFmt numFmtId="178" formatCode="0.00_);[Red]\(0.00\)"/>
    <numFmt numFmtId="179" formatCode="0_ "/>
  </numFmts>
  <fonts count="3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rgb="FF000000"/>
      <name val="黑体"/>
      <charset val="134"/>
    </font>
    <font>
      <sz val="11"/>
      <color theme="0"/>
      <name val="宋体"/>
      <charset val="134"/>
      <scheme val="minor"/>
    </font>
    <font>
      <sz val="10"/>
      <name val="微软雅黑"/>
      <charset val="134"/>
    </font>
    <font>
      <sz val="11"/>
      <color rgb="FF000000"/>
      <name val="黑体"/>
      <charset val="134"/>
    </font>
    <font>
      <sz val="10"/>
      <name val="Calibri"/>
      <charset val="0"/>
    </font>
    <font>
      <sz val="10"/>
      <color rgb="FF000000"/>
      <name val="黑体"/>
      <charset val="134"/>
    </font>
    <font>
      <b/>
      <sz val="14"/>
      <color rgb="FF000000"/>
      <name val="黑体"/>
      <charset val="134"/>
    </font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9" borderId="20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0" borderId="23" applyNumberFormat="0" applyAlignment="0" applyProtection="0">
      <alignment vertical="center"/>
    </xf>
    <xf numFmtId="0" fontId="24" fillId="11" borderId="24" applyNumberFormat="0" applyAlignment="0" applyProtection="0">
      <alignment vertical="center"/>
    </xf>
    <xf numFmtId="0" fontId="25" fillId="11" borderId="23" applyNumberFormat="0" applyAlignment="0" applyProtection="0">
      <alignment vertical="center"/>
    </xf>
    <xf numFmtId="0" fontId="26" fillId="12" borderId="25" applyNumberFormat="0" applyAlignment="0" applyProtection="0">
      <alignment vertical="center"/>
    </xf>
    <xf numFmtId="0" fontId="27" fillId="0" borderId="26" applyNumberFormat="0" applyFill="0" applyAlignment="0" applyProtection="0">
      <alignment vertical="center"/>
    </xf>
    <xf numFmtId="0" fontId="28" fillId="0" borderId="27" applyNumberFormat="0" applyFill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</cellStyleXfs>
  <cellXfs count="67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176" fontId="3" fillId="0" borderId="0" xfId="0" applyNumberFormat="1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 wrapText="1"/>
    </xf>
    <xf numFmtId="43" fontId="5" fillId="4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177" fontId="6" fillId="0" borderId="3" xfId="0" applyNumberFormat="1" applyFont="1" applyFill="1" applyBorder="1" applyAlignment="1">
      <alignment vertical="center"/>
    </xf>
    <xf numFmtId="178" fontId="6" fillId="0" borderId="3" xfId="0" applyNumberFormat="1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6" fillId="0" borderId="3" xfId="0" applyFont="1" applyFill="1" applyBorder="1" applyAlignment="1">
      <alignment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177" fontId="6" fillId="6" borderId="3" xfId="0" applyNumberFormat="1" applyFont="1" applyFill="1" applyBorder="1" applyAlignment="1">
      <alignment vertical="center"/>
    </xf>
    <xf numFmtId="0" fontId="6" fillId="6" borderId="3" xfId="0" applyFont="1" applyFill="1" applyBorder="1" applyAlignment="1">
      <alignment vertical="center"/>
    </xf>
    <xf numFmtId="0" fontId="0" fillId="7" borderId="0" xfId="0" applyFill="1" applyAlignment="1">
      <alignment horizontal="center" vertical="center"/>
    </xf>
    <xf numFmtId="176" fontId="7" fillId="3" borderId="5" xfId="0" applyNumberFormat="1" applyFont="1" applyFill="1" applyBorder="1" applyAlignment="1">
      <alignment horizontal="center" vertical="center"/>
    </xf>
    <xf numFmtId="0" fontId="8" fillId="0" borderId="3" xfId="0" applyFont="1" applyFill="1" applyBorder="1" applyAlignment="1">
      <alignment vertical="center"/>
    </xf>
    <xf numFmtId="179" fontId="7" fillId="0" borderId="5" xfId="0" applyNumberFormat="1" applyFont="1" applyFill="1" applyBorder="1" applyAlignment="1">
      <alignment horizontal="center" vertical="center"/>
    </xf>
    <xf numFmtId="179" fontId="7" fillId="3" borderId="5" xfId="0" applyNumberFormat="1" applyFont="1" applyFill="1" applyBorder="1" applyAlignment="1">
      <alignment horizontal="center" vertical="center"/>
    </xf>
    <xf numFmtId="176" fontId="7" fillId="0" borderId="5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179" fontId="7" fillId="3" borderId="7" xfId="0" applyNumberFormat="1" applyFont="1" applyFill="1" applyBorder="1" applyAlignment="1">
      <alignment horizontal="center" vertical="center"/>
    </xf>
    <xf numFmtId="179" fontId="7" fillId="3" borderId="8" xfId="0" applyNumberFormat="1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10" fontId="10" fillId="8" borderId="10" xfId="0" applyNumberFormat="1" applyFont="1" applyFill="1" applyBorder="1" applyAlignment="1">
      <alignment horizontal="center" vertical="center"/>
    </xf>
    <xf numFmtId="0" fontId="11" fillId="0" borderId="11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left" vertical="center"/>
    </xf>
    <xf numFmtId="0" fontId="11" fillId="8" borderId="13" xfId="0" applyFont="1" applyFill="1" applyBorder="1" applyAlignment="1">
      <alignment horizontal="left" vertical="center"/>
    </xf>
    <xf numFmtId="0" fontId="11" fillId="0" borderId="14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11" fillId="0" borderId="15" xfId="0" applyFont="1" applyFill="1" applyBorder="1" applyAlignment="1">
      <alignment horizontal="center" vertical="center"/>
    </xf>
    <xf numFmtId="1" fontId="11" fillId="8" borderId="3" xfId="0" applyNumberFormat="1" applyFont="1" applyFill="1" applyBorder="1" applyAlignment="1">
      <alignment horizontal="center" vertical="center"/>
    </xf>
    <xf numFmtId="1" fontId="11" fillId="0" borderId="3" xfId="0" applyNumberFormat="1" applyFont="1" applyFill="1" applyBorder="1" applyAlignment="1">
      <alignment horizontal="center" vertical="center"/>
    </xf>
    <xf numFmtId="2" fontId="12" fillId="8" borderId="3" xfId="0" applyNumberFormat="1" applyFont="1" applyFill="1" applyBorder="1" applyAlignment="1">
      <alignment horizontal="center" vertical="center"/>
    </xf>
    <xf numFmtId="2" fontId="12" fillId="8" borderId="15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0" fontId="11" fillId="0" borderId="16" xfId="0" applyFont="1" applyFill="1" applyBorder="1" applyAlignment="1">
      <alignment horizontal="center" vertical="center"/>
    </xf>
    <xf numFmtId="179" fontId="11" fillId="8" borderId="17" xfId="0" applyNumberFormat="1" applyFont="1" applyFill="1" applyBorder="1" applyAlignment="1">
      <alignment horizontal="center" vertical="center"/>
    </xf>
    <xf numFmtId="0" fontId="11" fillId="0" borderId="17" xfId="0" applyFont="1" applyFill="1" applyBorder="1" applyAlignment="1">
      <alignment horizontal="center" vertical="center"/>
    </xf>
    <xf numFmtId="179" fontId="11" fillId="0" borderId="17" xfId="0" applyNumberFormat="1" applyFont="1" applyFill="1" applyBorder="1" applyAlignment="1">
      <alignment horizontal="center" vertical="center"/>
    </xf>
    <xf numFmtId="1" fontId="11" fillId="0" borderId="17" xfId="0" applyNumberFormat="1" applyFont="1" applyFill="1" applyBorder="1" applyAlignment="1">
      <alignment horizontal="center" vertical="center"/>
    </xf>
    <xf numFmtId="2" fontId="12" fillId="8" borderId="17" xfId="0" applyNumberFormat="1" applyFont="1" applyFill="1" applyBorder="1" applyAlignment="1">
      <alignment horizontal="center" vertical="center"/>
    </xf>
    <xf numFmtId="2" fontId="12" fillId="8" borderId="18" xfId="0" applyNumberFormat="1" applyFont="1" applyFill="1" applyBorder="1" applyAlignment="1">
      <alignment horizontal="center" vertical="center"/>
    </xf>
    <xf numFmtId="10" fontId="3" fillId="0" borderId="3" xfId="0" applyNumberFormat="1" applyFont="1" applyFill="1" applyBorder="1" applyAlignment="1">
      <alignment vertical="center"/>
    </xf>
    <xf numFmtId="176" fontId="0" fillId="7" borderId="0" xfId="0" applyNumberFormat="1" applyFill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176" fontId="3" fillId="0" borderId="19" xfId="0" applyNumberFormat="1" applyFont="1" applyFill="1" applyBorder="1" applyAlignment="1">
      <alignment horizontal="center" vertical="center"/>
    </xf>
    <xf numFmtId="176" fontId="0" fillId="0" borderId="19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176" fontId="3" fillId="0" borderId="0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176" fontId="13" fillId="0" borderId="0" xfId="0" applyNumberFormat="1" applyFont="1" applyFill="1" applyAlignment="1">
      <alignment horizontal="center" vertical="center"/>
    </xf>
    <xf numFmtId="0" fontId="14" fillId="0" borderId="0" xfId="0" applyNumberFormat="1" applyFont="1" applyFill="1" applyBorder="1" applyAlignment="1">
      <alignment horizontal="center" vertical="center"/>
    </xf>
    <xf numFmtId="0" fontId="14" fillId="0" borderId="0" xfId="0" applyNumberFormat="1" applyFont="1" applyFill="1" applyAlignment="1">
      <alignment horizontal="center"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ang/Library/Containers/com.tencent.xinWeChat/Data/Documents/xwechat_files/wuke900_c6eb/msg/file/2026-05/2026.05.07&#32654;&#20848;&#28246;B715&#32508;&#21512;&#30772;&#24213;&#29575;&#27979;&#31639;&#34920;-&#21776;&#23159;&#23159;(1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-26.42%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70"/>
  <sheetViews>
    <sheetView tabSelected="1" topLeftCell="A4" workbookViewId="0">
      <selection activeCell="J15" sqref="J15"/>
    </sheetView>
  </sheetViews>
  <sheetFormatPr defaultColWidth="9.23076923076923" defaultRowHeight="16.8"/>
  <cols>
    <col min="1" max="1" width="42.3846153846154" customWidth="1"/>
    <col min="2" max="2" width="7.92307692307692" customWidth="1"/>
    <col min="3" max="3" width="9.69230769230769" customWidth="1"/>
    <col min="4" max="4" width="10.7692307692308" customWidth="1"/>
    <col min="5" max="5" width="8.26923076923077" customWidth="1"/>
    <col min="7" max="7" width="21.0769230769231" customWidth="1"/>
    <col min="8" max="9" width="19.3076923076923" customWidth="1"/>
    <col min="10" max="10" width="24.2307692307692" customWidth="1"/>
  </cols>
  <sheetData>
    <row r="1" ht="17.75" spans="1:30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ht="17" spans="1:30">
      <c r="A2" s="3" t="s">
        <v>5</v>
      </c>
      <c r="B2" s="3" t="s">
        <v>6</v>
      </c>
      <c r="C2" s="4">
        <v>158.19</v>
      </c>
      <c r="D2" s="5">
        <v>2</v>
      </c>
      <c r="E2" s="3" t="s">
        <v>7</v>
      </c>
      <c r="G2" s="6" t="s">
        <v>8</v>
      </c>
      <c r="H2" s="7"/>
      <c r="I2" s="7"/>
      <c r="J2" s="7"/>
      <c r="Q2" s="8" t="s">
        <v>9</v>
      </c>
      <c r="R2" s="9" t="s">
        <v>10</v>
      </c>
      <c r="S2" s="10"/>
      <c r="T2" s="8" t="s">
        <v>9</v>
      </c>
      <c r="U2" s="9" t="s">
        <v>10</v>
      </c>
      <c r="V2" s="10"/>
      <c r="W2" s="8" t="s">
        <v>9</v>
      </c>
      <c r="X2" s="9" t="s">
        <v>10</v>
      </c>
      <c r="Y2" s="10"/>
      <c r="Z2" s="8" t="s">
        <v>9</v>
      </c>
      <c r="AA2" s="9" t="s">
        <v>10</v>
      </c>
      <c r="AB2" s="10"/>
      <c r="AC2" s="8" t="s">
        <v>9</v>
      </c>
      <c r="AD2" s="9" t="s">
        <v>10</v>
      </c>
    </row>
    <row r="3" spans="1:30">
      <c r="A3" s="3" t="s">
        <v>5</v>
      </c>
      <c r="B3" s="3" t="s">
        <v>11</v>
      </c>
      <c r="C3" s="4">
        <v>30.92</v>
      </c>
      <c r="D3" s="5">
        <v>2</v>
      </c>
      <c r="E3" s="3" t="s">
        <v>7</v>
      </c>
      <c r="G3" s="11" t="s">
        <v>12</v>
      </c>
      <c r="H3" s="12" t="s">
        <v>13</v>
      </c>
      <c r="I3" s="12" t="s">
        <v>14</v>
      </c>
      <c r="J3" s="12" t="s">
        <v>15</v>
      </c>
      <c r="Q3" s="13">
        <v>0</v>
      </c>
      <c r="R3" s="14">
        <v>8.26</v>
      </c>
      <c r="S3" s="15"/>
      <c r="T3" s="13">
        <v>-0.1</v>
      </c>
      <c r="U3" s="16">
        <v>8.98</v>
      </c>
      <c r="V3" s="15"/>
      <c r="W3" s="13">
        <v>-0.2</v>
      </c>
      <c r="X3" s="16">
        <v>9.88</v>
      </c>
      <c r="Y3" s="15"/>
      <c r="Z3" s="13">
        <v>-0.3</v>
      </c>
      <c r="AA3" s="16">
        <v>10.97</v>
      </c>
      <c r="AB3" s="15"/>
      <c r="AC3" s="13">
        <v>-0.4</v>
      </c>
      <c r="AD3" s="16">
        <v>12.38</v>
      </c>
    </row>
    <row r="4" spans="1:30">
      <c r="A4" s="3" t="s">
        <v>5</v>
      </c>
      <c r="B4" s="3" t="s">
        <v>16</v>
      </c>
      <c r="C4" s="4">
        <v>73.31</v>
      </c>
      <c r="D4" s="5">
        <v>2</v>
      </c>
      <c r="E4" s="3" t="s">
        <v>7</v>
      </c>
      <c r="G4" s="17" t="s">
        <v>1</v>
      </c>
      <c r="H4" s="18">
        <f>B135</f>
        <v>715</v>
      </c>
      <c r="I4" s="18">
        <f>H4</f>
        <v>715</v>
      </c>
      <c r="J4" s="18"/>
      <c r="Q4" s="13">
        <v>-0.002</v>
      </c>
      <c r="R4" s="16">
        <v>8.27</v>
      </c>
      <c r="S4" s="15"/>
      <c r="T4" s="19">
        <v>-0.102</v>
      </c>
      <c r="U4" s="20">
        <v>9</v>
      </c>
      <c r="V4" s="15"/>
      <c r="W4" s="13">
        <v>-0.202</v>
      </c>
      <c r="X4" s="16">
        <v>9.9</v>
      </c>
      <c r="Y4" s="15"/>
      <c r="Z4" s="19">
        <v>-0.302</v>
      </c>
      <c r="AA4" s="20">
        <v>11</v>
      </c>
      <c r="AB4" s="15"/>
      <c r="AC4" s="13">
        <v>-0.402</v>
      </c>
      <c r="AD4" s="16">
        <v>12.42</v>
      </c>
    </row>
    <row r="5" spans="1:30">
      <c r="A5" s="3" t="s">
        <v>5</v>
      </c>
      <c r="B5" s="3" t="s">
        <v>17</v>
      </c>
      <c r="C5" s="4">
        <v>129.93</v>
      </c>
      <c r="D5" s="5">
        <v>2</v>
      </c>
      <c r="E5" s="3" t="s">
        <v>18</v>
      </c>
      <c r="G5" s="17" t="s">
        <v>19</v>
      </c>
      <c r="H5" s="18">
        <f>C135</f>
        <v>76</v>
      </c>
      <c r="I5" s="18">
        <v>88</v>
      </c>
      <c r="J5" s="18">
        <f t="shared" ref="J5:J7" si="0">I5-H5</f>
        <v>12</v>
      </c>
      <c r="Q5" s="13">
        <v>-0.004</v>
      </c>
      <c r="R5" s="16">
        <v>8.28</v>
      </c>
      <c r="S5" s="15"/>
      <c r="T5" s="13">
        <v>-0.104</v>
      </c>
      <c r="U5" s="16">
        <v>9.01</v>
      </c>
      <c r="V5" s="15"/>
      <c r="W5" s="13">
        <v>-0.204</v>
      </c>
      <c r="X5" s="16">
        <v>9.92</v>
      </c>
      <c r="Y5" s="15"/>
      <c r="Z5" s="13">
        <v>-0.304</v>
      </c>
      <c r="AA5" s="16">
        <v>11.02</v>
      </c>
      <c r="AB5" s="15"/>
      <c r="AC5" s="13">
        <v>-0.404</v>
      </c>
      <c r="AD5" s="16">
        <v>12.45</v>
      </c>
    </row>
    <row r="6" spans="1:30">
      <c r="A6" s="3" t="s">
        <v>5</v>
      </c>
      <c r="B6" s="3" t="s">
        <v>20</v>
      </c>
      <c r="C6" s="4">
        <v>97.69</v>
      </c>
      <c r="D6" s="5">
        <v>2</v>
      </c>
      <c r="E6" s="21" t="s">
        <v>18</v>
      </c>
      <c r="G6" s="17" t="s">
        <v>21</v>
      </c>
      <c r="H6" s="22">
        <f>D135+M41</f>
        <v>2.61617688166994</v>
      </c>
      <c r="I6" s="18">
        <v>1.6</v>
      </c>
      <c r="J6" s="18">
        <f t="shared" si="0"/>
        <v>-1.01617688166994</v>
      </c>
      <c r="Q6" s="13">
        <v>-0.006</v>
      </c>
      <c r="R6" s="16">
        <v>8.3</v>
      </c>
      <c r="S6" s="15"/>
      <c r="T6" s="13">
        <v>-0.106</v>
      </c>
      <c r="U6" s="16">
        <v>9.03</v>
      </c>
      <c r="V6" s="15"/>
      <c r="W6" s="13">
        <v>-0.206</v>
      </c>
      <c r="X6" s="16">
        <v>9.94</v>
      </c>
      <c r="Y6" s="15"/>
      <c r="Z6" s="13">
        <v>-0.306</v>
      </c>
      <c r="AA6" s="16">
        <v>11.05</v>
      </c>
      <c r="AB6" s="15"/>
      <c r="AC6" s="13">
        <v>-0.406</v>
      </c>
      <c r="AD6" s="16">
        <v>12.48</v>
      </c>
    </row>
    <row r="7" spans="1:30">
      <c r="A7" s="3" t="s">
        <v>5</v>
      </c>
      <c r="B7" s="3" t="s">
        <v>22</v>
      </c>
      <c r="C7" s="4">
        <v>44.46</v>
      </c>
      <c r="D7" s="5">
        <v>2</v>
      </c>
      <c r="E7" s="3" t="s">
        <v>7</v>
      </c>
      <c r="G7" s="17" t="s">
        <v>23</v>
      </c>
      <c r="H7" s="18">
        <v>12</v>
      </c>
      <c r="I7" s="18">
        <v>12</v>
      </c>
      <c r="J7" s="18">
        <f t="shared" si="0"/>
        <v>0</v>
      </c>
      <c r="Q7" s="13">
        <v>-0.008</v>
      </c>
      <c r="R7" s="16">
        <v>8.31</v>
      </c>
      <c r="S7" s="15"/>
      <c r="T7" s="13">
        <v>-0.108</v>
      </c>
      <c r="U7" s="16">
        <v>9.05</v>
      </c>
      <c r="V7" s="15"/>
      <c r="W7" s="13">
        <v>-0.208</v>
      </c>
      <c r="X7" s="16">
        <v>9.96</v>
      </c>
      <c r="Y7" s="15"/>
      <c r="Z7" s="13">
        <v>-0.308</v>
      </c>
      <c r="AA7" s="16">
        <v>11.07</v>
      </c>
      <c r="AB7" s="15"/>
      <c r="AC7" s="19">
        <v>-0.408</v>
      </c>
      <c r="AD7" s="20">
        <v>12.51</v>
      </c>
    </row>
    <row r="8" spans="1:30">
      <c r="A8" s="3" t="s">
        <v>5</v>
      </c>
      <c r="B8" s="3" t="s">
        <v>24</v>
      </c>
      <c r="C8" s="4">
        <v>42.51</v>
      </c>
      <c r="D8" s="5">
        <v>2</v>
      </c>
      <c r="E8" s="3" t="s">
        <v>7</v>
      </c>
      <c r="G8" s="17" t="s">
        <v>25</v>
      </c>
      <c r="H8" s="18" t="s">
        <v>26</v>
      </c>
      <c r="I8" s="18" t="s">
        <v>27</v>
      </c>
      <c r="J8" s="22" t="s">
        <v>28</v>
      </c>
      <c r="Q8" s="13">
        <v>-0.01</v>
      </c>
      <c r="R8" s="16">
        <v>8.32</v>
      </c>
      <c r="S8" s="15"/>
      <c r="T8" s="13">
        <v>-0.11</v>
      </c>
      <c r="U8" s="16">
        <v>9.06</v>
      </c>
      <c r="V8" s="15"/>
      <c r="W8" s="13">
        <v>-0.21</v>
      </c>
      <c r="X8" s="16">
        <v>9.98</v>
      </c>
      <c r="Y8" s="15"/>
      <c r="Z8" s="13">
        <v>-0.31</v>
      </c>
      <c r="AA8" s="16">
        <v>11.1</v>
      </c>
      <c r="AB8" s="15"/>
      <c r="AC8" s="13">
        <v>-0.41</v>
      </c>
      <c r="AD8" s="16">
        <v>12.54</v>
      </c>
    </row>
    <row r="9" spans="1:30">
      <c r="A9" s="3" t="s">
        <v>5</v>
      </c>
      <c r="B9" s="3" t="s">
        <v>29</v>
      </c>
      <c r="C9" s="4">
        <v>159.69</v>
      </c>
      <c r="D9" s="5">
        <v>2</v>
      </c>
      <c r="E9" s="3" t="s">
        <v>7</v>
      </c>
      <c r="G9" s="17" t="s">
        <v>30</v>
      </c>
      <c r="H9" s="18" t="s">
        <v>31</v>
      </c>
      <c r="I9" s="18" t="s">
        <v>32</v>
      </c>
      <c r="J9" s="18" t="s">
        <v>28</v>
      </c>
      <c r="Q9" s="13">
        <v>-0.012</v>
      </c>
      <c r="R9" s="23">
        <v>8.34</v>
      </c>
      <c r="S9" s="15"/>
      <c r="T9" s="13">
        <v>-0.112</v>
      </c>
      <c r="U9" s="16">
        <v>9.08</v>
      </c>
      <c r="V9" s="15"/>
      <c r="W9" s="19">
        <v>-0.212</v>
      </c>
      <c r="X9" s="20">
        <v>10</v>
      </c>
      <c r="Y9" s="15"/>
      <c r="Z9" s="13">
        <v>-0.312</v>
      </c>
      <c r="AA9" s="16">
        <v>11.12</v>
      </c>
      <c r="AB9" s="15"/>
      <c r="AC9" s="13">
        <v>-0.412</v>
      </c>
      <c r="AD9" s="16">
        <v>12.58</v>
      </c>
    </row>
    <row r="10" spans="1:30">
      <c r="A10" s="3" t="s">
        <v>5</v>
      </c>
      <c r="B10" s="3" t="s">
        <v>33</v>
      </c>
      <c r="C10" s="4">
        <v>167.52</v>
      </c>
      <c r="D10" s="5">
        <v>2</v>
      </c>
      <c r="E10" s="3" t="s">
        <v>7</v>
      </c>
      <c r="G10" s="17" t="s">
        <v>34</v>
      </c>
      <c r="H10" s="18" t="s">
        <v>35</v>
      </c>
      <c r="I10" s="18" t="s">
        <v>35</v>
      </c>
      <c r="J10" s="18" t="s">
        <v>28</v>
      </c>
      <c r="Q10" s="13">
        <v>-0.008</v>
      </c>
      <c r="R10" s="23">
        <v>8.31</v>
      </c>
      <c r="S10" s="15"/>
      <c r="T10" s="13">
        <v>-0.114</v>
      </c>
      <c r="U10" s="16">
        <v>9.1</v>
      </c>
      <c r="V10" s="15"/>
      <c r="W10" s="13">
        <v>-0.214</v>
      </c>
      <c r="X10" s="16">
        <v>10.02</v>
      </c>
      <c r="Y10" s="15"/>
      <c r="Z10" s="13">
        <v>-0.314</v>
      </c>
      <c r="AA10" s="16">
        <v>11.15</v>
      </c>
      <c r="AB10" s="15"/>
      <c r="AC10" s="13">
        <v>-0.414</v>
      </c>
      <c r="AD10" s="16">
        <v>12.61</v>
      </c>
    </row>
    <row r="11" spans="1:30">
      <c r="A11" s="3" t="s">
        <v>5</v>
      </c>
      <c r="B11" s="3" t="s">
        <v>36</v>
      </c>
      <c r="C11" s="4">
        <v>55</v>
      </c>
      <c r="D11" s="5">
        <v>2</v>
      </c>
      <c r="E11" s="3" t="s">
        <v>7</v>
      </c>
      <c r="G11" s="17" t="s">
        <v>37</v>
      </c>
      <c r="H11" s="22">
        <f>H12/H5/(365*3)</f>
        <v>2.43813151055629</v>
      </c>
      <c r="I11" s="22">
        <f>I12/I5/(365*3)</f>
        <v>1.46666666666667</v>
      </c>
      <c r="J11" s="22">
        <f t="shared" ref="J11:J14" si="1">I11-H11</f>
        <v>-0.971464843889625</v>
      </c>
      <c r="Q11" s="13">
        <v>-0.016</v>
      </c>
      <c r="R11" s="23">
        <v>8.37</v>
      </c>
      <c r="S11" s="15"/>
      <c r="T11" s="13">
        <v>-0.116</v>
      </c>
      <c r="U11" s="16">
        <v>9.11</v>
      </c>
      <c r="V11" s="15"/>
      <c r="W11" s="13">
        <v>-0.216</v>
      </c>
      <c r="X11" s="16">
        <v>10.04</v>
      </c>
      <c r="Y11" s="15"/>
      <c r="Z11" s="13">
        <v>-0.316</v>
      </c>
      <c r="AA11" s="16">
        <v>11.17</v>
      </c>
      <c r="AB11" s="15"/>
      <c r="AC11" s="13">
        <v>-0.416</v>
      </c>
      <c r="AD11" s="16">
        <v>12.64</v>
      </c>
    </row>
    <row r="12" spans="1:30">
      <c r="A12" s="3" t="s">
        <v>5</v>
      </c>
      <c r="B12" s="3" t="s">
        <v>38</v>
      </c>
      <c r="C12" s="4">
        <v>259.68</v>
      </c>
      <c r="D12" s="5">
        <v>2</v>
      </c>
      <c r="E12" s="3" t="s">
        <v>7</v>
      </c>
      <c r="G12" s="17" t="s">
        <v>39</v>
      </c>
      <c r="H12" s="22">
        <f>H5*H6*365/12*11*2+H5*H6*365*1.05/12*11</f>
        <v>202901.304308495</v>
      </c>
      <c r="I12" s="22">
        <f>I6*I5*365/12*21+I6*I5*365*1</f>
        <v>141328</v>
      </c>
      <c r="J12" s="24">
        <f t="shared" si="1"/>
        <v>-61573.3043084946</v>
      </c>
      <c r="Q12" s="13">
        <v>-0.018</v>
      </c>
      <c r="R12" s="16">
        <v>8.38</v>
      </c>
      <c r="S12" s="15"/>
      <c r="T12" s="13">
        <v>-0.118</v>
      </c>
      <c r="U12" s="16">
        <v>9.13</v>
      </c>
      <c r="V12" s="15"/>
      <c r="W12" s="13">
        <v>-0.218</v>
      </c>
      <c r="X12" s="16">
        <v>10.06</v>
      </c>
      <c r="Y12" s="15"/>
      <c r="Z12" s="13">
        <v>-0.318</v>
      </c>
      <c r="AA12" s="16">
        <v>11.2</v>
      </c>
      <c r="AB12" s="15"/>
      <c r="AC12" s="13">
        <v>-0.418</v>
      </c>
      <c r="AD12" s="16">
        <v>12.68</v>
      </c>
    </row>
    <row r="13" spans="1:30">
      <c r="A13" s="3" t="s">
        <v>5</v>
      </c>
      <c r="B13" s="3" t="s">
        <v>40</v>
      </c>
      <c r="C13" s="4">
        <v>127.75</v>
      </c>
      <c r="D13" s="5">
        <v>2</v>
      </c>
      <c r="E13" s="3" t="s">
        <v>7</v>
      </c>
      <c r="G13" s="17" t="s">
        <v>41</v>
      </c>
      <c r="H13" s="25">
        <f>H5*H7*12*3</f>
        <v>32832</v>
      </c>
      <c r="I13" s="25">
        <f>I5*I7*12*3</f>
        <v>38016</v>
      </c>
      <c r="J13" s="26">
        <f t="shared" si="1"/>
        <v>5184</v>
      </c>
      <c r="Q13" s="13">
        <v>-0.02</v>
      </c>
      <c r="R13" s="16">
        <v>8.39</v>
      </c>
      <c r="S13" s="15"/>
      <c r="T13" s="13">
        <v>-0.12</v>
      </c>
      <c r="U13" s="16">
        <v>9.15</v>
      </c>
      <c r="V13" s="15"/>
      <c r="W13" s="13">
        <v>-0.22</v>
      </c>
      <c r="X13" s="16">
        <v>10.08</v>
      </c>
      <c r="Y13" s="15"/>
      <c r="Z13" s="13">
        <v>-0.32</v>
      </c>
      <c r="AA13" s="16">
        <v>11.23</v>
      </c>
      <c r="AB13" s="15"/>
      <c r="AC13" s="13">
        <v>-0.42</v>
      </c>
      <c r="AD13" s="16">
        <v>12.71</v>
      </c>
    </row>
    <row r="14" spans="1:30">
      <c r="A14" s="3" t="s">
        <v>42</v>
      </c>
      <c r="B14" s="27">
        <v>101</v>
      </c>
      <c r="C14" s="4">
        <v>74.61</v>
      </c>
      <c r="D14" s="5">
        <v>3</v>
      </c>
      <c r="E14" s="3" t="s">
        <v>7</v>
      </c>
      <c r="G14" s="28" t="s">
        <v>43</v>
      </c>
      <c r="H14" s="29">
        <v>0</v>
      </c>
      <c r="I14" s="30">
        <v>0</v>
      </c>
      <c r="J14" s="26">
        <f t="shared" si="1"/>
        <v>0</v>
      </c>
      <c r="Q14" s="13">
        <v>-0.022</v>
      </c>
      <c r="R14" s="16">
        <v>8.41</v>
      </c>
      <c r="S14" s="15"/>
      <c r="T14" s="13">
        <v>-0.122</v>
      </c>
      <c r="U14" s="16">
        <v>9.16</v>
      </c>
      <c r="V14" s="15"/>
      <c r="W14" s="13">
        <v>-0.222</v>
      </c>
      <c r="X14" s="16">
        <v>10.1</v>
      </c>
      <c r="Y14" s="15"/>
      <c r="Z14" s="13">
        <v>-0.322</v>
      </c>
      <c r="AA14" s="16">
        <v>11.25</v>
      </c>
      <c r="AB14" s="15"/>
      <c r="AC14" s="13">
        <v>-0.422</v>
      </c>
      <c r="AD14" s="16">
        <v>12.74</v>
      </c>
    </row>
    <row r="15" ht="21.15" spans="1:30">
      <c r="A15" s="3" t="s">
        <v>42</v>
      </c>
      <c r="B15" s="27">
        <v>102</v>
      </c>
      <c r="C15" s="4">
        <v>82.12</v>
      </c>
      <c r="D15" s="5">
        <v>3</v>
      </c>
      <c r="E15" s="3" t="s">
        <v>7</v>
      </c>
      <c r="G15" s="31" t="s">
        <v>8</v>
      </c>
      <c r="H15" s="32"/>
      <c r="I15" s="32"/>
      <c r="J15" s="33">
        <f>(J12+J13+J14)/(H12)</f>
        <v>-0.277914942442949</v>
      </c>
      <c r="Q15" s="13">
        <v>-0.024</v>
      </c>
      <c r="R15" s="16">
        <v>8.42</v>
      </c>
      <c r="S15" s="15"/>
      <c r="T15" s="13">
        <v>-0.124</v>
      </c>
      <c r="U15" s="16">
        <v>9.18</v>
      </c>
      <c r="V15" s="15"/>
      <c r="W15" s="13">
        <v>-0.224</v>
      </c>
      <c r="X15" s="16">
        <v>10.12</v>
      </c>
      <c r="Y15" s="15"/>
      <c r="Z15" s="13">
        <v>-0.324</v>
      </c>
      <c r="AA15" s="16">
        <v>11.28</v>
      </c>
      <c r="AB15" s="15"/>
      <c r="AC15" s="13">
        <v>-0.424</v>
      </c>
      <c r="AD15" s="16">
        <v>12.78</v>
      </c>
    </row>
    <row r="16" ht="17.55" spans="1:30">
      <c r="A16" s="3" t="s">
        <v>42</v>
      </c>
      <c r="B16" s="27">
        <v>103</v>
      </c>
      <c r="C16" s="4">
        <v>150.02</v>
      </c>
      <c r="D16" s="5">
        <v>3</v>
      </c>
      <c r="E16" s="3" t="s">
        <v>7</v>
      </c>
      <c r="Q16" s="13">
        <v>-0.026</v>
      </c>
      <c r="R16" s="16">
        <v>8.43</v>
      </c>
      <c r="S16" s="15"/>
      <c r="T16" s="13">
        <v>-0.126</v>
      </c>
      <c r="U16" s="16">
        <v>9.2</v>
      </c>
      <c r="V16" s="15"/>
      <c r="W16" s="13">
        <v>-0.226</v>
      </c>
      <c r="X16" s="16">
        <v>10.14</v>
      </c>
      <c r="Y16" s="15"/>
      <c r="Z16" s="13">
        <v>-0.326</v>
      </c>
      <c r="AA16" s="16">
        <v>11.31</v>
      </c>
      <c r="AB16" s="15"/>
      <c r="AC16" s="13">
        <v>-0.426</v>
      </c>
      <c r="AD16" s="16">
        <v>12.81</v>
      </c>
    </row>
    <row r="17" spans="1:30">
      <c r="A17" s="3" t="s">
        <v>42</v>
      </c>
      <c r="B17" s="27">
        <v>104</v>
      </c>
      <c r="C17" s="4">
        <v>89.91</v>
      </c>
      <c r="D17" s="5">
        <v>3</v>
      </c>
      <c r="E17" s="21" t="s">
        <v>18</v>
      </c>
      <c r="G17" s="34" t="s">
        <v>44</v>
      </c>
      <c r="H17" s="35">
        <f>I5</f>
        <v>88</v>
      </c>
      <c r="I17" s="36" t="s">
        <v>45</v>
      </c>
      <c r="J17" s="36"/>
      <c r="K17" s="36"/>
      <c r="L17" s="36"/>
      <c r="M17" s="36"/>
      <c r="N17" s="37"/>
      <c r="Q17" s="13">
        <v>-0.028</v>
      </c>
      <c r="R17" s="16">
        <v>8.45</v>
      </c>
      <c r="S17" s="15"/>
      <c r="T17" s="13">
        <v>-0.128</v>
      </c>
      <c r="U17" s="16">
        <v>9.21</v>
      </c>
      <c r="V17" s="15"/>
      <c r="W17" s="13">
        <v>-0.228</v>
      </c>
      <c r="X17" s="16">
        <v>10.16</v>
      </c>
      <c r="Y17" s="15"/>
      <c r="Z17" s="13">
        <v>-0.328</v>
      </c>
      <c r="AA17" s="16">
        <v>11.33</v>
      </c>
      <c r="AB17" s="15"/>
      <c r="AC17" s="13">
        <v>-0.428</v>
      </c>
      <c r="AD17" s="16">
        <v>12.85</v>
      </c>
    </row>
    <row r="18" spans="1:30">
      <c r="A18" s="3" t="s">
        <v>42</v>
      </c>
      <c r="B18" s="27">
        <v>106</v>
      </c>
      <c r="C18" s="4">
        <v>92.58</v>
      </c>
      <c r="D18" s="5">
        <v>3</v>
      </c>
      <c r="E18" s="3" t="s">
        <v>7</v>
      </c>
      <c r="G18" s="38" t="s">
        <v>46</v>
      </c>
      <c r="H18" s="39" t="s">
        <v>47</v>
      </c>
      <c r="I18" s="39"/>
      <c r="J18" s="39" t="s">
        <v>48</v>
      </c>
      <c r="K18" s="39" t="s">
        <v>49</v>
      </c>
      <c r="L18" s="39" t="s">
        <v>50</v>
      </c>
      <c r="M18" s="39" t="s">
        <v>51</v>
      </c>
      <c r="N18" s="40"/>
      <c r="Q18" s="13">
        <v>-0.03</v>
      </c>
      <c r="R18" s="16">
        <v>8.46</v>
      </c>
      <c r="S18" s="15"/>
      <c r="T18" s="13">
        <v>-0.13</v>
      </c>
      <c r="U18" s="16">
        <v>9.23</v>
      </c>
      <c r="V18" s="15"/>
      <c r="W18" s="13">
        <v>-0.23</v>
      </c>
      <c r="X18" s="16">
        <v>10.18</v>
      </c>
      <c r="Y18" s="15"/>
      <c r="Z18" s="13">
        <v>-0.33</v>
      </c>
      <c r="AA18" s="16">
        <v>11.36</v>
      </c>
      <c r="AB18" s="15"/>
      <c r="AC18" s="13">
        <v>-0.43</v>
      </c>
      <c r="AD18" s="16">
        <v>12.88</v>
      </c>
    </row>
    <row r="19" spans="1:30">
      <c r="A19" s="3" t="s">
        <v>42</v>
      </c>
      <c r="B19" s="27">
        <v>107</v>
      </c>
      <c r="C19" s="4">
        <v>295.72</v>
      </c>
      <c r="D19" s="5">
        <v>3</v>
      </c>
      <c r="E19" s="3" t="s">
        <v>52</v>
      </c>
      <c r="G19" s="38"/>
      <c r="H19" s="41">
        <v>0</v>
      </c>
      <c r="I19" s="41"/>
      <c r="J19" s="42">
        <f>H19*5%*3</f>
        <v>0</v>
      </c>
      <c r="K19" s="42">
        <f>H19+J19</f>
        <v>0</v>
      </c>
      <c r="L19" s="42">
        <f>(K19+K20)/H17</f>
        <v>113.636363636364</v>
      </c>
      <c r="M19" s="43">
        <f>L19/365/3</f>
        <v>0.103777501037775</v>
      </c>
      <c r="N19" s="44"/>
      <c r="Q19" s="13">
        <v>-0.032</v>
      </c>
      <c r="R19" s="16">
        <v>8.48</v>
      </c>
      <c r="S19" s="15"/>
      <c r="T19" s="13">
        <v>-0.132</v>
      </c>
      <c r="U19" s="16">
        <v>9.25</v>
      </c>
      <c r="V19" s="15"/>
      <c r="W19" s="13">
        <v>-0.232</v>
      </c>
      <c r="X19" s="16">
        <v>10.2</v>
      </c>
      <c r="Y19" s="15"/>
      <c r="Z19" s="13">
        <v>-0.332</v>
      </c>
      <c r="AA19" s="16">
        <v>11.39</v>
      </c>
      <c r="AB19" s="15"/>
      <c r="AC19" s="13">
        <v>-0.432</v>
      </c>
      <c r="AD19" s="16">
        <v>12.92</v>
      </c>
    </row>
    <row r="20" ht="17.55" spans="1:30">
      <c r="A20" s="3" t="s">
        <v>53</v>
      </c>
      <c r="B20" s="3" t="s">
        <v>54</v>
      </c>
      <c r="C20" s="5">
        <v>131</v>
      </c>
      <c r="D20" s="45">
        <v>2.11</v>
      </c>
      <c r="E20" s="46" t="s">
        <v>7</v>
      </c>
      <c r="G20" s="47" t="s">
        <v>55</v>
      </c>
      <c r="H20" s="48">
        <f>10000</f>
        <v>10000</v>
      </c>
      <c r="I20" s="48"/>
      <c r="J20" s="49">
        <v>0</v>
      </c>
      <c r="K20" s="50">
        <f>H20+J20</f>
        <v>10000</v>
      </c>
      <c r="L20" s="51"/>
      <c r="M20" s="52"/>
      <c r="N20" s="53"/>
      <c r="Q20" s="13">
        <v>-0.034</v>
      </c>
      <c r="R20" s="16">
        <v>8.49</v>
      </c>
      <c r="S20" s="15"/>
      <c r="T20" s="13">
        <v>-0.134</v>
      </c>
      <c r="U20" s="16">
        <v>9.26</v>
      </c>
      <c r="V20" s="15"/>
      <c r="W20" s="13">
        <v>-0.234</v>
      </c>
      <c r="X20" s="16">
        <v>10.22</v>
      </c>
      <c r="Y20" s="15"/>
      <c r="Z20" s="13">
        <v>-0.334</v>
      </c>
      <c r="AA20" s="16">
        <v>11.41</v>
      </c>
      <c r="AB20" s="15"/>
      <c r="AC20" s="13">
        <v>-0.434</v>
      </c>
      <c r="AD20" s="16">
        <v>12.95</v>
      </c>
    </row>
    <row r="21" spans="1:30">
      <c r="A21" s="3" t="s">
        <v>53</v>
      </c>
      <c r="B21" s="3" t="s">
        <v>56</v>
      </c>
      <c r="C21" s="5">
        <v>100</v>
      </c>
      <c r="D21" s="45">
        <v>2.11</v>
      </c>
      <c r="E21" s="46" t="s">
        <v>7</v>
      </c>
      <c r="Q21" s="19">
        <v>-0.036</v>
      </c>
      <c r="R21" s="20">
        <v>8.5</v>
      </c>
      <c r="S21" s="15"/>
      <c r="T21" s="13">
        <v>-0.136</v>
      </c>
      <c r="U21" s="16">
        <v>9.28</v>
      </c>
      <c r="V21" s="15"/>
      <c r="W21" s="13">
        <v>-0.236</v>
      </c>
      <c r="X21" s="16">
        <v>10.24</v>
      </c>
      <c r="Y21" s="15"/>
      <c r="Z21" s="13">
        <v>-0.336</v>
      </c>
      <c r="AA21" s="16">
        <v>11.44</v>
      </c>
      <c r="AB21" s="15"/>
      <c r="AC21" s="19">
        <v>-0.436</v>
      </c>
      <c r="AD21" s="20">
        <v>12.99</v>
      </c>
    </row>
    <row r="22" spans="1:30">
      <c r="A22" s="3" t="s">
        <v>53</v>
      </c>
      <c r="B22" s="3" t="s">
        <v>57</v>
      </c>
      <c r="C22" s="5">
        <v>100</v>
      </c>
      <c r="D22" s="45">
        <v>2.11</v>
      </c>
      <c r="E22" s="46" t="s">
        <v>7</v>
      </c>
      <c r="Q22" s="13">
        <v>-0.038</v>
      </c>
      <c r="R22" s="16">
        <v>8.52</v>
      </c>
      <c r="S22" s="15"/>
      <c r="T22" s="13">
        <v>-0.138</v>
      </c>
      <c r="U22" s="16">
        <v>9.3</v>
      </c>
      <c r="V22" s="15"/>
      <c r="W22" s="13">
        <v>-0.238</v>
      </c>
      <c r="X22" s="16">
        <v>10.26</v>
      </c>
      <c r="Y22" s="15"/>
      <c r="Z22" s="13">
        <v>-0.338</v>
      </c>
      <c r="AA22" s="16">
        <v>11.47</v>
      </c>
      <c r="AB22" s="15"/>
      <c r="AC22" s="13">
        <v>-0.438</v>
      </c>
      <c r="AD22" s="16">
        <v>13.02</v>
      </c>
    </row>
    <row r="23" spans="1:30">
      <c r="A23" s="3" t="s">
        <v>53</v>
      </c>
      <c r="B23" s="3" t="s">
        <v>58</v>
      </c>
      <c r="C23" s="5">
        <v>107</v>
      </c>
      <c r="D23" s="45">
        <v>2.11</v>
      </c>
      <c r="E23" s="46" t="s">
        <v>7</v>
      </c>
      <c r="Q23" s="13">
        <v>-0.04</v>
      </c>
      <c r="R23" s="16">
        <v>8.53</v>
      </c>
      <c r="S23" s="15"/>
      <c r="T23" s="13">
        <v>-0.14</v>
      </c>
      <c r="U23" s="16">
        <v>9.32</v>
      </c>
      <c r="V23" s="15"/>
      <c r="W23" s="13">
        <v>-0.24</v>
      </c>
      <c r="X23" s="16">
        <v>10.29</v>
      </c>
      <c r="Y23" s="15"/>
      <c r="Z23" s="19">
        <v>-0.34</v>
      </c>
      <c r="AA23" s="20">
        <v>11.5</v>
      </c>
      <c r="AB23" s="15"/>
      <c r="AC23" s="13">
        <v>-0.44</v>
      </c>
      <c r="AD23" s="16">
        <v>13.06</v>
      </c>
    </row>
    <row r="24" spans="1:30">
      <c r="A24" s="3" t="s">
        <v>53</v>
      </c>
      <c r="B24" s="3" t="s">
        <v>59</v>
      </c>
      <c r="C24" s="5">
        <v>144</v>
      </c>
      <c r="D24" s="45">
        <v>2.22</v>
      </c>
      <c r="E24" s="46" t="s">
        <v>7</v>
      </c>
      <c r="Q24" s="13">
        <v>-0.042</v>
      </c>
      <c r="R24" s="16">
        <v>8.55</v>
      </c>
      <c r="S24" s="15"/>
      <c r="T24" s="13">
        <v>-0.142</v>
      </c>
      <c r="U24" s="16">
        <v>9.33</v>
      </c>
      <c r="V24" s="15"/>
      <c r="W24" s="13">
        <v>-0.242</v>
      </c>
      <c r="X24" s="16">
        <v>10.31</v>
      </c>
      <c r="Y24" s="15"/>
      <c r="Z24" s="13">
        <v>-0.342</v>
      </c>
      <c r="AA24" s="16">
        <v>11.52</v>
      </c>
      <c r="AB24" s="15"/>
      <c r="AC24" s="13">
        <v>-0.442</v>
      </c>
      <c r="AD24" s="16">
        <v>13.09</v>
      </c>
    </row>
    <row r="25" spans="1:30">
      <c r="A25" s="3" t="s">
        <v>53</v>
      </c>
      <c r="B25" s="3" t="s">
        <v>60</v>
      </c>
      <c r="C25" s="5">
        <v>161.33</v>
      </c>
      <c r="D25" s="45">
        <v>2.22</v>
      </c>
      <c r="E25" s="46" t="s">
        <v>7</v>
      </c>
      <c r="Q25" s="13">
        <v>-0.044</v>
      </c>
      <c r="R25" s="16">
        <v>8.56</v>
      </c>
      <c r="S25" s="15"/>
      <c r="T25" s="13">
        <v>-0.144</v>
      </c>
      <c r="U25" s="16">
        <v>9.35</v>
      </c>
      <c r="V25" s="15"/>
      <c r="W25" s="13">
        <v>-0.244</v>
      </c>
      <c r="X25" s="16">
        <v>10.33</v>
      </c>
      <c r="Y25" s="15"/>
      <c r="Z25" s="13">
        <v>-0.344</v>
      </c>
      <c r="AA25" s="16">
        <v>11.55</v>
      </c>
      <c r="AB25" s="15"/>
      <c r="AC25" s="13">
        <v>-0.444</v>
      </c>
      <c r="AD25" s="16">
        <v>13.13</v>
      </c>
    </row>
    <row r="26" spans="1:30">
      <c r="A26" s="3" t="s">
        <v>53</v>
      </c>
      <c r="B26" s="3" t="s">
        <v>61</v>
      </c>
      <c r="C26" s="5">
        <v>114</v>
      </c>
      <c r="D26" s="45">
        <v>2.17</v>
      </c>
      <c r="E26" s="46" t="s">
        <v>7</v>
      </c>
      <c r="Q26" s="13">
        <v>-0.046</v>
      </c>
      <c r="R26" s="16">
        <v>8.57</v>
      </c>
      <c r="S26" s="15"/>
      <c r="T26" s="13">
        <v>-0.146</v>
      </c>
      <c r="U26" s="16">
        <v>9.37</v>
      </c>
      <c r="V26" s="15"/>
      <c r="W26" s="13">
        <v>-0.246</v>
      </c>
      <c r="X26" s="16">
        <v>10.35</v>
      </c>
      <c r="Y26" s="15"/>
      <c r="Z26" s="13">
        <v>-0.346</v>
      </c>
      <c r="AA26" s="16">
        <v>11.58</v>
      </c>
      <c r="AB26" s="15"/>
      <c r="AC26" s="13">
        <v>-0.446</v>
      </c>
      <c r="AD26" s="16">
        <v>13.17</v>
      </c>
    </row>
    <row r="27" spans="1:30">
      <c r="A27" s="3" t="s">
        <v>53</v>
      </c>
      <c r="B27" s="3" t="s">
        <v>62</v>
      </c>
      <c r="C27" s="5">
        <v>301.16</v>
      </c>
      <c r="D27" s="5">
        <v>2.08523588072339</v>
      </c>
      <c r="E27" s="46" t="s">
        <v>52</v>
      </c>
      <c r="Q27" s="13">
        <v>-0.048</v>
      </c>
      <c r="R27" s="16">
        <v>8.59</v>
      </c>
      <c r="S27" s="15"/>
      <c r="T27" s="13">
        <v>-0.148</v>
      </c>
      <c r="U27" s="16">
        <v>9.39</v>
      </c>
      <c r="V27" s="15"/>
      <c r="W27" s="13">
        <v>-0.248</v>
      </c>
      <c r="X27" s="16">
        <v>10.37</v>
      </c>
      <c r="Y27" s="15"/>
      <c r="Z27" s="13">
        <v>-0.348</v>
      </c>
      <c r="AA27" s="16">
        <v>11.61</v>
      </c>
      <c r="AB27" s="15"/>
      <c r="AC27" s="13">
        <v>-0.448</v>
      </c>
      <c r="AD27" s="16">
        <v>13.2</v>
      </c>
    </row>
    <row r="28" spans="1:30">
      <c r="A28" s="3" t="s">
        <v>53</v>
      </c>
      <c r="B28" s="3" t="s">
        <v>63</v>
      </c>
      <c r="C28" s="5">
        <v>226</v>
      </c>
      <c r="D28" s="5">
        <v>2.26</v>
      </c>
      <c r="E28" s="46" t="s">
        <v>7</v>
      </c>
      <c r="Q28" s="13">
        <v>-0.05</v>
      </c>
      <c r="R28" s="16">
        <v>8.6</v>
      </c>
      <c r="S28" s="15"/>
      <c r="T28" s="13">
        <v>-0.15</v>
      </c>
      <c r="U28" s="16">
        <v>9.41</v>
      </c>
      <c r="V28" s="15"/>
      <c r="W28" s="13">
        <v>-0.25</v>
      </c>
      <c r="X28" s="16">
        <v>10.39</v>
      </c>
      <c r="Y28" s="15"/>
      <c r="Z28" s="13">
        <v>-0.35</v>
      </c>
      <c r="AA28" s="16">
        <v>11.64</v>
      </c>
      <c r="AB28" s="15"/>
      <c r="AC28" s="13">
        <v>-0.45</v>
      </c>
      <c r="AD28" s="16">
        <v>13.24</v>
      </c>
    </row>
    <row r="29" spans="1:30">
      <c r="A29" s="3" t="s">
        <v>53</v>
      </c>
      <c r="B29" s="3" t="s">
        <v>64</v>
      </c>
      <c r="C29" s="5">
        <v>146.9</v>
      </c>
      <c r="D29" s="5">
        <v>2.26</v>
      </c>
      <c r="E29" s="46" t="s">
        <v>7</v>
      </c>
      <c r="Q29" s="13">
        <v>-0.052</v>
      </c>
      <c r="R29" s="16">
        <v>8.62</v>
      </c>
      <c r="S29" s="15"/>
      <c r="T29" s="13">
        <v>-0.152</v>
      </c>
      <c r="U29" s="16">
        <v>9.42</v>
      </c>
      <c r="V29" s="15"/>
      <c r="W29" s="13">
        <v>-0.252</v>
      </c>
      <c r="X29" s="16">
        <v>10.41</v>
      </c>
      <c r="Y29" s="15"/>
      <c r="Z29" s="13">
        <v>-0.352</v>
      </c>
      <c r="AA29" s="16">
        <v>11.67</v>
      </c>
      <c r="AB29" s="15"/>
      <c r="AC29" s="13">
        <v>-0.452</v>
      </c>
      <c r="AD29" s="16">
        <v>13.28</v>
      </c>
    </row>
    <row r="30" spans="1:30">
      <c r="A30" s="3" t="s">
        <v>53</v>
      </c>
      <c r="B30" s="3" t="s">
        <v>65</v>
      </c>
      <c r="C30" s="5">
        <v>258.63</v>
      </c>
      <c r="D30" s="5">
        <v>2.24</v>
      </c>
      <c r="E30" s="46" t="s">
        <v>7</v>
      </c>
      <c r="Q30" s="13">
        <v>-0.054</v>
      </c>
      <c r="R30" s="16">
        <v>8.63</v>
      </c>
      <c r="S30" s="15"/>
      <c r="T30" s="13">
        <v>-0.154</v>
      </c>
      <c r="U30" s="16">
        <v>9.44</v>
      </c>
      <c r="V30" s="15"/>
      <c r="W30" s="13">
        <v>-0.254</v>
      </c>
      <c r="X30" s="16">
        <v>10.44</v>
      </c>
      <c r="Y30" s="15"/>
      <c r="Z30" s="13">
        <v>-0.354</v>
      </c>
      <c r="AA30" s="16">
        <v>11.7</v>
      </c>
      <c r="AB30" s="15"/>
      <c r="AC30" s="13">
        <v>-0.454</v>
      </c>
      <c r="AD30" s="16">
        <v>13.32</v>
      </c>
    </row>
    <row r="31" spans="1:30">
      <c r="A31" s="3" t="s">
        <v>53</v>
      </c>
      <c r="B31" s="3" t="s">
        <v>66</v>
      </c>
      <c r="C31" s="5">
        <v>121.42</v>
      </c>
      <c r="D31" s="5">
        <v>2.33680013490932</v>
      </c>
      <c r="E31" s="46" t="s">
        <v>7</v>
      </c>
      <c r="Q31" s="13">
        <v>-0.056</v>
      </c>
      <c r="R31" s="16">
        <v>8.65</v>
      </c>
      <c r="S31" s="15"/>
      <c r="T31" s="13">
        <v>-0.156</v>
      </c>
      <c r="U31" s="16">
        <v>9.46</v>
      </c>
      <c r="V31" s="15"/>
      <c r="W31" s="13">
        <v>-0.256</v>
      </c>
      <c r="X31" s="16">
        <v>10.46</v>
      </c>
      <c r="Y31" s="15"/>
      <c r="Z31" s="13">
        <v>-0.356</v>
      </c>
      <c r="AA31" s="16">
        <v>11.72</v>
      </c>
      <c r="AB31" s="15"/>
      <c r="AC31" s="13">
        <v>-0.456</v>
      </c>
      <c r="AD31" s="16">
        <v>13.35</v>
      </c>
    </row>
    <row r="32" spans="1:30">
      <c r="A32" s="3" t="s">
        <v>53</v>
      </c>
      <c r="B32" s="3" t="s">
        <v>67</v>
      </c>
      <c r="C32" s="5">
        <v>138.65</v>
      </c>
      <c r="D32" s="5">
        <v>2.33680013490932</v>
      </c>
      <c r="E32" s="46" t="s">
        <v>7</v>
      </c>
      <c r="Q32" s="13">
        <v>-0.058</v>
      </c>
      <c r="R32" s="16">
        <v>8.66</v>
      </c>
      <c r="S32" s="15"/>
      <c r="T32" s="13">
        <v>-0.158</v>
      </c>
      <c r="U32" s="16">
        <v>9.48</v>
      </c>
      <c r="V32" s="15"/>
      <c r="W32" s="13">
        <v>-0.258</v>
      </c>
      <c r="X32" s="16">
        <v>10.48</v>
      </c>
      <c r="Y32" s="15"/>
      <c r="Z32" s="13">
        <v>-0.358</v>
      </c>
      <c r="AA32" s="16">
        <v>11.75</v>
      </c>
      <c r="AB32" s="15"/>
      <c r="AC32" s="13">
        <v>-0.458</v>
      </c>
      <c r="AD32" s="16">
        <v>13.39</v>
      </c>
    </row>
    <row r="33" spans="1:30">
      <c r="A33" s="3" t="s">
        <v>53</v>
      </c>
      <c r="B33" s="3" t="s">
        <v>68</v>
      </c>
      <c r="C33" s="5">
        <v>99.75</v>
      </c>
      <c r="D33" s="5">
        <v>2.33680013490932</v>
      </c>
      <c r="E33" s="46" t="s">
        <v>7</v>
      </c>
      <c r="Q33" s="13">
        <v>-0.06</v>
      </c>
      <c r="R33" s="16">
        <v>8.68</v>
      </c>
      <c r="S33" s="15"/>
      <c r="T33" s="19">
        <v>-0.16</v>
      </c>
      <c r="U33" s="20">
        <v>9.5</v>
      </c>
      <c r="V33" s="15"/>
      <c r="W33" s="19">
        <v>-0.26</v>
      </c>
      <c r="X33" s="20">
        <v>10.5</v>
      </c>
      <c r="Y33" s="15"/>
      <c r="Z33" s="13">
        <v>-0.36</v>
      </c>
      <c r="AA33" s="16">
        <v>11.78</v>
      </c>
      <c r="AB33" s="15"/>
      <c r="AC33" s="13">
        <v>-0.46</v>
      </c>
      <c r="AD33" s="16">
        <v>13.43</v>
      </c>
    </row>
    <row r="34" spans="1:30">
      <c r="A34" s="3" t="s">
        <v>53</v>
      </c>
      <c r="B34" s="3" t="s">
        <v>69</v>
      </c>
      <c r="C34" s="5">
        <v>94.19</v>
      </c>
      <c r="D34" s="5">
        <v>2.33680013490932</v>
      </c>
      <c r="E34" s="46" t="s">
        <v>7</v>
      </c>
      <c r="Q34" s="13">
        <v>-0.062</v>
      </c>
      <c r="R34" s="16">
        <v>8.69</v>
      </c>
      <c r="S34" s="15"/>
      <c r="T34" s="13">
        <v>-0.162</v>
      </c>
      <c r="U34" s="16">
        <v>9.51</v>
      </c>
      <c r="V34" s="15"/>
      <c r="W34" s="13">
        <v>-0.262</v>
      </c>
      <c r="X34" s="16">
        <v>10.52</v>
      </c>
      <c r="Y34" s="15"/>
      <c r="Z34" s="13">
        <v>-0.362</v>
      </c>
      <c r="AA34" s="16">
        <v>11.81</v>
      </c>
      <c r="AB34" s="15"/>
      <c r="AC34" s="13">
        <v>-0.462</v>
      </c>
      <c r="AD34" s="16">
        <v>13.47</v>
      </c>
    </row>
    <row r="35" spans="1:30">
      <c r="A35" s="3" t="s">
        <v>53</v>
      </c>
      <c r="B35" s="3" t="s">
        <v>70</v>
      </c>
      <c r="C35" s="5">
        <v>120.45</v>
      </c>
      <c r="D35" s="5">
        <v>2.33680013490932</v>
      </c>
      <c r="E35" s="46" t="s">
        <v>7</v>
      </c>
      <c r="Q35" s="13">
        <v>-0.064</v>
      </c>
      <c r="R35" s="16">
        <v>8.71</v>
      </c>
      <c r="S35" s="15"/>
      <c r="T35" s="13">
        <v>-0.164</v>
      </c>
      <c r="U35" s="16">
        <v>9.53</v>
      </c>
      <c r="V35" s="15"/>
      <c r="W35" s="13">
        <v>-0.264</v>
      </c>
      <c r="X35" s="16">
        <v>10.55</v>
      </c>
      <c r="Y35" s="15"/>
      <c r="Z35" s="13">
        <v>-0.364</v>
      </c>
      <c r="AA35" s="16">
        <v>11.84</v>
      </c>
      <c r="AB35" s="15"/>
      <c r="AC35" s="19">
        <v>-0.464</v>
      </c>
      <c r="AD35" s="20">
        <v>13.51</v>
      </c>
    </row>
    <row r="36" spans="1:30">
      <c r="A36" s="3" t="s">
        <v>53</v>
      </c>
      <c r="B36" s="3" t="s">
        <v>71</v>
      </c>
      <c r="C36" s="5">
        <v>140.87</v>
      </c>
      <c r="D36" s="5">
        <v>2.33680013490932</v>
      </c>
      <c r="E36" s="46" t="s">
        <v>7</v>
      </c>
      <c r="Q36" s="13">
        <v>-0.066</v>
      </c>
      <c r="R36" s="16">
        <v>8.72</v>
      </c>
      <c r="S36" s="15"/>
      <c r="T36" s="13">
        <v>-0.166</v>
      </c>
      <c r="U36" s="16">
        <v>9.55</v>
      </c>
      <c r="V36" s="15"/>
      <c r="W36" s="13">
        <v>-0.266</v>
      </c>
      <c r="X36" s="16">
        <v>10.57</v>
      </c>
      <c r="Y36" s="15"/>
      <c r="Z36" s="13">
        <v>-0.366</v>
      </c>
      <c r="AA36" s="16">
        <v>11.87</v>
      </c>
      <c r="AB36" s="15"/>
      <c r="AC36" s="13">
        <v>-0.466</v>
      </c>
      <c r="AD36" s="16">
        <v>13.55</v>
      </c>
    </row>
    <row r="37" spans="1:30">
      <c r="A37" s="3" t="s">
        <v>53</v>
      </c>
      <c r="B37" s="3" t="s">
        <v>72</v>
      </c>
      <c r="C37" s="5">
        <v>166.99</v>
      </c>
      <c r="D37" s="5">
        <v>2.33680013490932</v>
      </c>
      <c r="E37" s="46" t="s">
        <v>7</v>
      </c>
      <c r="Q37" s="13">
        <v>-0.068</v>
      </c>
      <c r="R37" s="16">
        <v>8.73</v>
      </c>
      <c r="S37" s="15"/>
      <c r="T37" s="13">
        <v>-0.168</v>
      </c>
      <c r="U37" s="16">
        <v>9.57</v>
      </c>
      <c r="V37" s="15"/>
      <c r="W37" s="13">
        <v>-0.268</v>
      </c>
      <c r="X37" s="16">
        <v>10.59</v>
      </c>
      <c r="Y37" s="15"/>
      <c r="Z37" s="13">
        <v>-0.368</v>
      </c>
      <c r="AA37" s="16">
        <v>11.9</v>
      </c>
      <c r="AB37" s="15"/>
      <c r="AC37" s="13">
        <v>-0.468</v>
      </c>
      <c r="AD37" s="16">
        <v>13.58</v>
      </c>
    </row>
    <row r="38" spans="1:30">
      <c r="A38" s="3" t="s">
        <v>53</v>
      </c>
      <c r="B38" s="3" t="s">
        <v>73</v>
      </c>
      <c r="C38" s="5">
        <v>152.13</v>
      </c>
      <c r="D38" s="5">
        <v>2.33680013490932</v>
      </c>
      <c r="E38" s="46" t="s">
        <v>7</v>
      </c>
      <c r="Q38" s="13">
        <v>-0.07</v>
      </c>
      <c r="R38" s="16">
        <v>8.75</v>
      </c>
      <c r="S38" s="15"/>
      <c r="T38" s="13">
        <v>-0.17</v>
      </c>
      <c r="U38" s="16">
        <v>9.59</v>
      </c>
      <c r="V38" s="15"/>
      <c r="W38" s="13">
        <v>-0.27</v>
      </c>
      <c r="X38" s="16">
        <v>10.62</v>
      </c>
      <c r="Y38" s="15"/>
      <c r="Z38" s="13">
        <v>-0.37</v>
      </c>
      <c r="AA38" s="16">
        <v>11.93</v>
      </c>
      <c r="AB38" s="15"/>
      <c r="AC38" s="13">
        <v>-0.47</v>
      </c>
      <c r="AD38" s="16">
        <v>13.62</v>
      </c>
    </row>
    <row r="39" spans="1:30">
      <c r="A39" s="3" t="s">
        <v>53</v>
      </c>
      <c r="B39" s="3" t="s">
        <v>74</v>
      </c>
      <c r="C39" s="5">
        <v>188.52</v>
      </c>
      <c r="D39" s="5">
        <v>2.33680013490932</v>
      </c>
      <c r="E39" s="46" t="s">
        <v>7</v>
      </c>
      <c r="Q39" s="13">
        <v>-0.072</v>
      </c>
      <c r="R39" s="16">
        <v>8.76</v>
      </c>
      <c r="S39" s="15"/>
      <c r="T39" s="13">
        <v>-0.172</v>
      </c>
      <c r="U39" s="16">
        <v>9.61</v>
      </c>
      <c r="V39" s="15"/>
      <c r="W39" s="13">
        <v>-0.272</v>
      </c>
      <c r="X39" s="16">
        <v>10.64</v>
      </c>
      <c r="Y39" s="15"/>
      <c r="Z39" s="13">
        <v>-0.372</v>
      </c>
      <c r="AA39" s="16">
        <v>11.96</v>
      </c>
      <c r="AB39" s="15"/>
      <c r="AC39" s="13">
        <v>-0.472</v>
      </c>
      <c r="AD39" s="16">
        <v>13.66</v>
      </c>
    </row>
    <row r="40" spans="1:30">
      <c r="A40" s="3" t="s">
        <v>53</v>
      </c>
      <c r="B40" s="3" t="s">
        <v>75</v>
      </c>
      <c r="C40" s="5">
        <v>154.21</v>
      </c>
      <c r="D40" s="5">
        <v>2.33680013490932</v>
      </c>
      <c r="E40" s="46" t="s">
        <v>7</v>
      </c>
      <c r="Q40" s="13">
        <v>-0.074</v>
      </c>
      <c r="R40" s="16">
        <v>8.78</v>
      </c>
      <c r="S40" s="15"/>
      <c r="T40" s="13">
        <v>-0.174</v>
      </c>
      <c r="U40" s="16">
        <v>9.63</v>
      </c>
      <c r="V40" s="15"/>
      <c r="W40" s="13">
        <v>-0.274</v>
      </c>
      <c r="X40" s="16">
        <v>10.66</v>
      </c>
      <c r="Y40" s="15"/>
      <c r="Z40" s="19">
        <v>-0.374</v>
      </c>
      <c r="AA40" s="20">
        <v>11.99</v>
      </c>
      <c r="AB40" s="15"/>
      <c r="AC40" s="13">
        <v>-0.474</v>
      </c>
      <c r="AD40" s="16">
        <v>13.7</v>
      </c>
    </row>
    <row r="41" spans="1:30">
      <c r="A41" s="3" t="s">
        <v>53</v>
      </c>
      <c r="B41" s="3" t="s">
        <v>76</v>
      </c>
      <c r="C41" s="5">
        <v>253.54</v>
      </c>
      <c r="D41" s="5">
        <v>2.33680013490932</v>
      </c>
      <c r="E41" s="46" t="s">
        <v>7</v>
      </c>
      <c r="Q41" s="13">
        <v>-0.076</v>
      </c>
      <c r="R41" s="16">
        <v>8.79</v>
      </c>
      <c r="S41" s="15"/>
      <c r="T41" s="13">
        <v>-0.176</v>
      </c>
      <c r="U41" s="16">
        <v>9.65</v>
      </c>
      <c r="V41" s="15"/>
      <c r="W41" s="13">
        <v>-0.276</v>
      </c>
      <c r="X41" s="16">
        <v>10.68</v>
      </c>
      <c r="Y41" s="15"/>
      <c r="Z41" s="13">
        <v>-0.376</v>
      </c>
      <c r="AA41" s="16">
        <v>12.02</v>
      </c>
      <c r="AB41" s="15"/>
      <c r="AC41" s="13">
        <v>-0.476</v>
      </c>
      <c r="AD41" s="16">
        <v>13.74</v>
      </c>
    </row>
    <row r="42" spans="1:30">
      <c r="A42" s="3" t="s">
        <v>53</v>
      </c>
      <c r="B42" s="3" t="s">
        <v>77</v>
      </c>
      <c r="C42" s="5">
        <v>80</v>
      </c>
      <c r="D42" s="5">
        <v>2.4</v>
      </c>
      <c r="E42" s="46" t="s">
        <v>7</v>
      </c>
      <c r="Q42" s="13">
        <v>-0.078</v>
      </c>
      <c r="R42" s="16">
        <v>8.81</v>
      </c>
      <c r="S42" s="15"/>
      <c r="T42" s="13">
        <v>-0.178</v>
      </c>
      <c r="U42" s="16">
        <v>9.66</v>
      </c>
      <c r="V42" s="15"/>
      <c r="W42" s="13">
        <v>-0.278</v>
      </c>
      <c r="X42" s="16">
        <v>10.71</v>
      </c>
      <c r="Y42" s="15"/>
      <c r="Z42" s="13">
        <v>-0.378</v>
      </c>
      <c r="AA42" s="16">
        <v>12.05</v>
      </c>
      <c r="AB42" s="15"/>
      <c r="AC42" s="13">
        <v>-0.478</v>
      </c>
      <c r="AD42" s="16">
        <v>13.79</v>
      </c>
    </row>
    <row r="43" spans="1:30">
      <c r="A43" s="3" t="s">
        <v>53</v>
      </c>
      <c r="B43" s="3" t="s">
        <v>78</v>
      </c>
      <c r="C43" s="5">
        <v>81</v>
      </c>
      <c r="D43" s="5">
        <v>2.4</v>
      </c>
      <c r="E43" s="46" t="s">
        <v>7</v>
      </c>
      <c r="Q43" s="13">
        <v>-0.08</v>
      </c>
      <c r="R43" s="16">
        <v>8.83</v>
      </c>
      <c r="S43" s="15"/>
      <c r="T43" s="13">
        <v>-0.18</v>
      </c>
      <c r="U43" s="16">
        <v>9.68</v>
      </c>
      <c r="V43" s="15"/>
      <c r="W43" s="13">
        <v>-0.28</v>
      </c>
      <c r="X43" s="16">
        <v>10.73</v>
      </c>
      <c r="Y43" s="15"/>
      <c r="Z43" s="13">
        <v>-0.38</v>
      </c>
      <c r="AA43" s="16">
        <v>12.08</v>
      </c>
      <c r="AB43" s="15"/>
      <c r="AC43" s="13">
        <v>-0.48</v>
      </c>
      <c r="AD43" s="16">
        <v>13.83</v>
      </c>
    </row>
    <row r="44" spans="1:30">
      <c r="A44" s="3" t="s">
        <v>53</v>
      </c>
      <c r="B44" s="3" t="s">
        <v>79</v>
      </c>
      <c r="C44" s="5">
        <v>183.74</v>
      </c>
      <c r="D44" s="5">
        <v>2.4</v>
      </c>
      <c r="E44" s="46" t="s">
        <v>7</v>
      </c>
      <c r="Q44" s="13">
        <v>-0.082</v>
      </c>
      <c r="R44" s="16">
        <v>8.84</v>
      </c>
      <c r="S44" s="15"/>
      <c r="T44" s="13">
        <v>-0.182</v>
      </c>
      <c r="U44" s="16">
        <v>9.7</v>
      </c>
      <c r="V44" s="15"/>
      <c r="W44" s="13">
        <v>-0.282</v>
      </c>
      <c r="X44" s="16">
        <v>10.75</v>
      </c>
      <c r="Y44" s="15"/>
      <c r="Z44" s="13">
        <v>-0.382</v>
      </c>
      <c r="AA44" s="16">
        <v>12.11</v>
      </c>
      <c r="AB44" s="15"/>
      <c r="AC44" s="13">
        <v>-0.482</v>
      </c>
      <c r="AD44" s="16">
        <v>13.87</v>
      </c>
    </row>
    <row r="45" spans="1:30">
      <c r="A45" s="3" t="s">
        <v>53</v>
      </c>
      <c r="B45" s="3" t="s">
        <v>80</v>
      </c>
      <c r="C45" s="5">
        <v>96</v>
      </c>
      <c r="D45" s="5">
        <v>2.36</v>
      </c>
      <c r="E45" s="46" t="s">
        <v>7</v>
      </c>
      <c r="Q45" s="13">
        <v>-0.084</v>
      </c>
      <c r="R45" s="16">
        <v>8.86</v>
      </c>
      <c r="S45" s="15"/>
      <c r="T45" s="13">
        <v>-0.184</v>
      </c>
      <c r="U45" s="16">
        <v>9.72</v>
      </c>
      <c r="V45" s="15"/>
      <c r="W45" s="13">
        <v>-0.284</v>
      </c>
      <c r="X45" s="16">
        <v>10.78</v>
      </c>
      <c r="Y45" s="15"/>
      <c r="Z45" s="13">
        <v>-0.384</v>
      </c>
      <c r="AA45" s="16">
        <v>12.14</v>
      </c>
      <c r="AB45" s="15"/>
      <c r="AC45" s="13">
        <v>-0.484</v>
      </c>
      <c r="AD45" s="16">
        <v>13.91</v>
      </c>
    </row>
    <row r="46" spans="1:30">
      <c r="A46" s="3" t="s">
        <v>53</v>
      </c>
      <c r="B46" s="3" t="s">
        <v>81</v>
      </c>
      <c r="C46" s="5">
        <v>357.48</v>
      </c>
      <c r="D46" s="5">
        <v>2.42</v>
      </c>
      <c r="E46" s="46" t="s">
        <v>7</v>
      </c>
      <c r="Q46" s="13">
        <v>-0.086</v>
      </c>
      <c r="R46" s="16">
        <v>8.87</v>
      </c>
      <c r="S46" s="15"/>
      <c r="T46" s="13">
        <v>-0.186</v>
      </c>
      <c r="U46" s="16">
        <v>9.74</v>
      </c>
      <c r="V46" s="15"/>
      <c r="W46" s="13">
        <v>-0.286</v>
      </c>
      <c r="X46" s="16">
        <v>10.8</v>
      </c>
      <c r="Y46" s="15"/>
      <c r="Z46" s="13">
        <v>-0.386</v>
      </c>
      <c r="AA46" s="16">
        <v>12.17</v>
      </c>
      <c r="AB46" s="15"/>
      <c r="AC46" s="13">
        <v>-0.486</v>
      </c>
      <c r="AD46" s="16">
        <v>13.95</v>
      </c>
    </row>
    <row r="47" spans="1:30">
      <c r="A47" s="3" t="s">
        <v>53</v>
      </c>
      <c r="B47" s="3" t="s">
        <v>82</v>
      </c>
      <c r="C47" s="5">
        <v>81</v>
      </c>
      <c r="D47" s="5">
        <v>2.35</v>
      </c>
      <c r="E47" s="46" t="s">
        <v>7</v>
      </c>
      <c r="Q47" s="13">
        <v>-0.088</v>
      </c>
      <c r="R47" s="16">
        <v>8.89</v>
      </c>
      <c r="S47" s="15"/>
      <c r="T47" s="13">
        <v>-0.188</v>
      </c>
      <c r="U47" s="16">
        <v>9.76</v>
      </c>
      <c r="V47" s="15"/>
      <c r="W47" s="13">
        <v>-0.288</v>
      </c>
      <c r="X47" s="16">
        <v>10.83</v>
      </c>
      <c r="Y47" s="15"/>
      <c r="Z47" s="13">
        <v>-0.388</v>
      </c>
      <c r="AA47" s="16">
        <v>12.2</v>
      </c>
      <c r="AB47" s="15"/>
      <c r="AC47" s="19">
        <v>-0.488</v>
      </c>
      <c r="AD47" s="20">
        <v>13.99</v>
      </c>
    </row>
    <row r="48" spans="1:30">
      <c r="A48" s="3" t="s">
        <v>53</v>
      </c>
      <c r="B48" s="3" t="s">
        <v>83</v>
      </c>
      <c r="C48" s="5">
        <v>80</v>
      </c>
      <c r="D48" s="5">
        <v>2.35</v>
      </c>
      <c r="E48" s="46" t="s">
        <v>7</v>
      </c>
      <c r="Q48" s="13">
        <v>-0.09</v>
      </c>
      <c r="R48" s="16">
        <v>8.9</v>
      </c>
      <c r="S48" s="15"/>
      <c r="T48" s="13">
        <v>-0.19</v>
      </c>
      <c r="U48" s="16">
        <v>9.78</v>
      </c>
      <c r="V48" s="15"/>
      <c r="W48" s="13">
        <v>-0.29</v>
      </c>
      <c r="X48" s="16">
        <v>10.85</v>
      </c>
      <c r="Y48" s="15"/>
      <c r="Z48" s="13">
        <v>-0.39</v>
      </c>
      <c r="AA48" s="16">
        <v>12.23</v>
      </c>
      <c r="AB48" s="15"/>
      <c r="AC48" s="13">
        <v>-0.49</v>
      </c>
      <c r="AD48" s="16">
        <v>14.03</v>
      </c>
    </row>
    <row r="49" spans="1:30">
      <c r="A49" s="3" t="s">
        <v>53</v>
      </c>
      <c r="B49" s="3" t="s">
        <v>84</v>
      </c>
      <c r="C49" s="5">
        <v>114.57</v>
      </c>
      <c r="D49" s="5">
        <v>2.35485351005465</v>
      </c>
      <c r="E49" s="46" t="s">
        <v>7</v>
      </c>
      <c r="Q49" s="13">
        <v>-0.092</v>
      </c>
      <c r="R49" s="16">
        <v>8.92</v>
      </c>
      <c r="S49" s="15"/>
      <c r="T49" s="13">
        <v>-0.192</v>
      </c>
      <c r="U49" s="16">
        <v>9.8</v>
      </c>
      <c r="V49" s="15"/>
      <c r="W49" s="13">
        <v>-0.292</v>
      </c>
      <c r="X49" s="16">
        <v>10.87</v>
      </c>
      <c r="Y49" s="15"/>
      <c r="Z49" s="13">
        <v>-0.392</v>
      </c>
      <c r="AA49" s="16">
        <v>12.26</v>
      </c>
      <c r="AB49" s="15"/>
      <c r="AC49" s="13">
        <v>-0.492</v>
      </c>
      <c r="AD49" s="16">
        <v>14.07</v>
      </c>
    </row>
    <row r="50" spans="1:30">
      <c r="A50" s="3" t="s">
        <v>53</v>
      </c>
      <c r="B50" s="3" t="s">
        <v>85</v>
      </c>
      <c r="C50" s="5">
        <v>151.44</v>
      </c>
      <c r="D50" s="5">
        <v>2.35485351005465</v>
      </c>
      <c r="E50" s="46" t="s">
        <v>7</v>
      </c>
      <c r="Q50" s="13">
        <v>-0.094</v>
      </c>
      <c r="R50" s="16">
        <v>8.93</v>
      </c>
      <c r="S50" s="15"/>
      <c r="T50" s="13">
        <v>-0.194</v>
      </c>
      <c r="U50" s="16">
        <v>9.82</v>
      </c>
      <c r="V50" s="15"/>
      <c r="W50" s="13">
        <v>-0.294</v>
      </c>
      <c r="X50" s="16">
        <v>10.9</v>
      </c>
      <c r="Y50" s="15"/>
      <c r="Z50" s="13">
        <v>-0.394</v>
      </c>
      <c r="AA50" s="16">
        <v>12.29</v>
      </c>
      <c r="AB50" s="15"/>
      <c r="AC50" s="13">
        <v>-0.494</v>
      </c>
      <c r="AD50" s="16">
        <v>14.11</v>
      </c>
    </row>
    <row r="51" spans="1:30">
      <c r="A51" s="3" t="s">
        <v>53</v>
      </c>
      <c r="B51" s="3" t="s">
        <v>86</v>
      </c>
      <c r="C51" s="5">
        <v>132.63</v>
      </c>
      <c r="D51" s="5">
        <v>2.35485351005465</v>
      </c>
      <c r="E51" s="46" t="s">
        <v>7</v>
      </c>
      <c r="Q51" s="54">
        <v>-0.096</v>
      </c>
      <c r="R51" s="15">
        <v>8.95</v>
      </c>
      <c r="S51" s="15"/>
      <c r="T51" s="13">
        <v>-0.196</v>
      </c>
      <c r="U51" s="16">
        <v>9.84</v>
      </c>
      <c r="V51" s="15"/>
      <c r="W51" s="13">
        <v>-0.296</v>
      </c>
      <c r="X51" s="16">
        <v>10.92</v>
      </c>
      <c r="Y51" s="15"/>
      <c r="Z51" s="13">
        <v>-0.396</v>
      </c>
      <c r="AA51" s="16">
        <v>12.32</v>
      </c>
      <c r="AB51" s="15"/>
      <c r="AC51" s="13">
        <v>-0.496</v>
      </c>
      <c r="AD51" s="16">
        <v>14.15</v>
      </c>
    </row>
    <row r="52" spans="1:30">
      <c r="A52" s="3" t="s">
        <v>53</v>
      </c>
      <c r="B52" s="3" t="s">
        <v>87</v>
      </c>
      <c r="C52" s="5">
        <v>169.98</v>
      </c>
      <c r="D52" s="5">
        <v>2.35485351005465</v>
      </c>
      <c r="E52" s="46" t="s">
        <v>7</v>
      </c>
      <c r="Q52" s="54">
        <v>-0.098</v>
      </c>
      <c r="R52" s="15">
        <v>8.97</v>
      </c>
      <c r="S52" s="15"/>
      <c r="T52" s="13">
        <v>-0.198</v>
      </c>
      <c r="U52" s="16">
        <v>9.86</v>
      </c>
      <c r="V52" s="15"/>
      <c r="W52" s="13">
        <v>-0.298</v>
      </c>
      <c r="X52" s="16">
        <v>10.95</v>
      </c>
      <c r="Y52" s="15"/>
      <c r="Z52" s="13">
        <v>-0.398</v>
      </c>
      <c r="AA52" s="16">
        <v>12.35</v>
      </c>
      <c r="AB52" s="15"/>
      <c r="AC52" s="13">
        <v>-0.498</v>
      </c>
      <c r="AD52" s="16">
        <v>14.19</v>
      </c>
    </row>
    <row r="53" spans="1:30">
      <c r="A53" s="3" t="s">
        <v>53</v>
      </c>
      <c r="B53" s="3" t="s">
        <v>88</v>
      </c>
      <c r="C53" s="5">
        <v>102.88</v>
      </c>
      <c r="D53" s="5">
        <v>2.35485351005465</v>
      </c>
      <c r="E53" s="46" t="s">
        <v>7</v>
      </c>
      <c r="Q53" s="54">
        <v>-0.1</v>
      </c>
      <c r="R53" s="15">
        <v>8.98</v>
      </c>
      <c r="S53" s="15"/>
      <c r="T53" s="13">
        <v>-0.2</v>
      </c>
      <c r="U53" s="16">
        <v>9.88</v>
      </c>
      <c r="V53" s="15"/>
      <c r="W53" s="13">
        <v>-0.3</v>
      </c>
      <c r="X53" s="16">
        <v>10.97</v>
      </c>
      <c r="Y53" s="15"/>
      <c r="Z53" s="13">
        <v>-0.4</v>
      </c>
      <c r="AA53" s="16">
        <v>12.38</v>
      </c>
      <c r="AB53" s="15"/>
      <c r="AC53" s="13">
        <v>-0.5</v>
      </c>
      <c r="AD53" s="16">
        <v>14.24</v>
      </c>
    </row>
    <row r="54" spans="1:30">
      <c r="A54" s="3" t="s">
        <v>53</v>
      </c>
      <c r="B54" s="3" t="s">
        <v>89</v>
      </c>
      <c r="C54" s="5">
        <v>131</v>
      </c>
      <c r="D54" s="5">
        <v>2.45</v>
      </c>
      <c r="E54" s="46" t="s">
        <v>7</v>
      </c>
    </row>
    <row r="55" spans="1:30">
      <c r="A55" s="3" t="s">
        <v>53</v>
      </c>
      <c r="B55" s="3" t="s">
        <v>90</v>
      </c>
      <c r="C55" s="5">
        <v>467.99</v>
      </c>
      <c r="D55" s="5">
        <v>2.42</v>
      </c>
      <c r="E55" s="46" t="s">
        <v>7</v>
      </c>
    </row>
    <row r="56" spans="1:30">
      <c r="A56" s="3" t="s">
        <v>53</v>
      </c>
      <c r="B56" s="3" t="s">
        <v>91</v>
      </c>
      <c r="C56" s="5">
        <v>357.48</v>
      </c>
      <c r="D56" s="5">
        <v>2.43</v>
      </c>
      <c r="E56" s="46" t="s">
        <v>7</v>
      </c>
    </row>
    <row r="57" spans="1:30">
      <c r="A57" s="3" t="s">
        <v>53</v>
      </c>
      <c r="B57" s="3" t="s">
        <v>92</v>
      </c>
      <c r="C57" s="5">
        <v>171.12</v>
      </c>
      <c r="D57" s="5">
        <v>2.38</v>
      </c>
      <c r="E57" s="46" t="s">
        <v>7</v>
      </c>
    </row>
    <row r="58" spans="1:30">
      <c r="A58" s="3" t="s">
        <v>53</v>
      </c>
      <c r="B58" s="3" t="s">
        <v>93</v>
      </c>
      <c r="C58" s="5">
        <v>61.48</v>
      </c>
      <c r="D58" s="5">
        <v>2.465445433289</v>
      </c>
      <c r="E58" s="46" t="s">
        <v>7</v>
      </c>
    </row>
    <row r="59" spans="1:30">
      <c r="A59" s="3" t="s">
        <v>53</v>
      </c>
      <c r="B59" s="3" t="s">
        <v>94</v>
      </c>
      <c r="C59" s="5">
        <v>152.26</v>
      </c>
      <c r="D59" s="5">
        <v>2.45</v>
      </c>
      <c r="E59" s="46" t="s">
        <v>7</v>
      </c>
    </row>
    <row r="60" spans="1:30">
      <c r="A60" s="3" t="s">
        <v>53</v>
      </c>
      <c r="B60" s="3" t="s">
        <v>95</v>
      </c>
      <c r="C60" s="5">
        <v>123</v>
      </c>
      <c r="D60" s="5">
        <v>2.38857737</v>
      </c>
      <c r="E60" s="55" t="s">
        <v>18</v>
      </c>
    </row>
    <row r="61" spans="1:30">
      <c r="A61" s="3" t="s">
        <v>53</v>
      </c>
      <c r="B61" s="3" t="s">
        <v>96</v>
      </c>
      <c r="C61" s="5">
        <v>184.26</v>
      </c>
      <c r="D61" s="5">
        <v>2.395445433289</v>
      </c>
      <c r="E61" s="46" t="s">
        <v>7</v>
      </c>
    </row>
    <row r="62" spans="1:30">
      <c r="A62" s="3" t="s">
        <v>53</v>
      </c>
      <c r="B62" s="3" t="s">
        <v>97</v>
      </c>
      <c r="C62" s="5">
        <v>206.74</v>
      </c>
      <c r="D62" s="5">
        <v>2.625445433289</v>
      </c>
      <c r="E62" s="46" t="s">
        <v>7</v>
      </c>
    </row>
    <row r="63" spans="1:30">
      <c r="A63" s="3" t="s">
        <v>53</v>
      </c>
      <c r="B63" s="3" t="s">
        <v>98</v>
      </c>
      <c r="C63" s="5">
        <v>138</v>
      </c>
      <c r="D63" s="5">
        <v>2.61</v>
      </c>
      <c r="E63" s="46" t="s">
        <v>7</v>
      </c>
    </row>
    <row r="64" spans="1:30">
      <c r="A64" s="3" t="s">
        <v>53</v>
      </c>
      <c r="B64" s="3" t="s">
        <v>99</v>
      </c>
      <c r="C64" s="5">
        <v>80</v>
      </c>
      <c r="D64" s="5">
        <v>2.59</v>
      </c>
      <c r="E64" s="46" t="s">
        <v>7</v>
      </c>
    </row>
    <row r="65" spans="1:5">
      <c r="A65" s="3" t="s">
        <v>53</v>
      </c>
      <c r="B65" s="3" t="s">
        <v>100</v>
      </c>
      <c r="C65" s="5">
        <v>80</v>
      </c>
      <c r="D65" s="5">
        <v>2.59</v>
      </c>
      <c r="E65" s="46" t="s">
        <v>7</v>
      </c>
    </row>
    <row r="66" spans="1:5">
      <c r="A66" s="3" t="s">
        <v>53</v>
      </c>
      <c r="B66" s="3" t="s">
        <v>101</v>
      </c>
      <c r="C66" s="5">
        <v>277.48</v>
      </c>
      <c r="D66" s="5">
        <v>2.66</v>
      </c>
      <c r="E66" s="46" t="s">
        <v>7</v>
      </c>
    </row>
    <row r="67" spans="1:5">
      <c r="A67" s="3" t="s">
        <v>53</v>
      </c>
      <c r="B67" s="3" t="s">
        <v>102</v>
      </c>
      <c r="C67" s="5">
        <v>80</v>
      </c>
      <c r="D67" s="5">
        <v>2.66</v>
      </c>
      <c r="E67" s="46" t="s">
        <v>7</v>
      </c>
    </row>
    <row r="68" spans="1:5">
      <c r="A68" s="3" t="s">
        <v>53</v>
      </c>
      <c r="B68" s="3" t="s">
        <v>103</v>
      </c>
      <c r="C68" s="5">
        <v>123</v>
      </c>
      <c r="D68" s="5">
        <v>2.59</v>
      </c>
      <c r="E68" s="46" t="s">
        <v>7</v>
      </c>
    </row>
    <row r="69" spans="1:5">
      <c r="A69" s="3" t="s">
        <v>53</v>
      </c>
      <c r="B69" s="3" t="s">
        <v>104</v>
      </c>
      <c r="C69" s="5">
        <v>195.38</v>
      </c>
      <c r="D69" s="5">
        <v>2.605445433289</v>
      </c>
      <c r="E69" s="46" t="s">
        <v>7</v>
      </c>
    </row>
    <row r="70" spans="1:5">
      <c r="A70" s="3" t="s">
        <v>53</v>
      </c>
      <c r="B70" s="3" t="s">
        <v>105</v>
      </c>
      <c r="C70" s="5">
        <v>162</v>
      </c>
      <c r="D70" s="5">
        <v>2.59</v>
      </c>
      <c r="E70" s="46" t="s">
        <v>7</v>
      </c>
    </row>
    <row r="71" spans="1:5">
      <c r="A71" s="3" t="s">
        <v>53</v>
      </c>
      <c r="B71" s="3" t="s">
        <v>106</v>
      </c>
      <c r="C71" s="5">
        <v>288.13</v>
      </c>
      <c r="D71" s="5">
        <v>2.59</v>
      </c>
      <c r="E71" s="46" t="s">
        <v>7</v>
      </c>
    </row>
    <row r="72" spans="1:5">
      <c r="A72" s="3" t="s">
        <v>53</v>
      </c>
      <c r="B72" s="3" t="s">
        <v>107</v>
      </c>
      <c r="C72" s="5">
        <v>216.74</v>
      </c>
      <c r="D72" s="5">
        <v>2.825445433289</v>
      </c>
      <c r="E72" s="46" t="s">
        <v>7</v>
      </c>
    </row>
    <row r="73" spans="1:5">
      <c r="A73" s="3" t="s">
        <v>53</v>
      </c>
      <c r="B73" s="3" t="s">
        <v>108</v>
      </c>
      <c r="C73" s="5">
        <v>128</v>
      </c>
      <c r="D73" s="5">
        <v>2.81</v>
      </c>
      <c r="E73" s="46" t="s">
        <v>7</v>
      </c>
    </row>
    <row r="74" spans="1:5">
      <c r="A74" s="3" t="s">
        <v>53</v>
      </c>
      <c r="B74" s="3" t="s">
        <v>109</v>
      </c>
      <c r="C74" s="5">
        <v>80</v>
      </c>
      <c r="D74" s="5">
        <v>2.7</v>
      </c>
      <c r="E74" s="46" t="s">
        <v>7</v>
      </c>
    </row>
    <row r="75" spans="1:5">
      <c r="A75" s="3" t="s">
        <v>53</v>
      </c>
      <c r="B75" s="3" t="s">
        <v>110</v>
      </c>
      <c r="C75" s="5">
        <v>277.48</v>
      </c>
      <c r="D75" s="5">
        <v>2.724022803289</v>
      </c>
      <c r="E75" s="46" t="s">
        <v>18</v>
      </c>
    </row>
    <row r="76" spans="1:5">
      <c r="A76" s="3" t="s">
        <v>53</v>
      </c>
      <c r="B76" s="3" t="s">
        <v>111</v>
      </c>
      <c r="C76" s="5">
        <v>250.34</v>
      </c>
      <c r="D76" s="5">
        <v>2.815445433289</v>
      </c>
      <c r="E76" s="46" t="s">
        <v>7</v>
      </c>
    </row>
    <row r="77" spans="1:5">
      <c r="A77" s="3" t="s">
        <v>53</v>
      </c>
      <c r="B77" s="3" t="s">
        <v>112</v>
      </c>
      <c r="C77" s="5">
        <v>164</v>
      </c>
      <c r="D77" s="5">
        <v>2.8</v>
      </c>
      <c r="E77" s="46" t="s">
        <v>7</v>
      </c>
    </row>
    <row r="78" spans="1:5">
      <c r="A78" s="3" t="s">
        <v>53</v>
      </c>
      <c r="B78" s="3" t="s">
        <v>113</v>
      </c>
      <c r="C78" s="5">
        <v>80</v>
      </c>
      <c r="D78" s="5">
        <v>2.815445433289</v>
      </c>
      <c r="E78" s="46" t="s">
        <v>7</v>
      </c>
    </row>
    <row r="79" spans="1:5">
      <c r="A79" s="3" t="s">
        <v>53</v>
      </c>
      <c r="B79" s="3" t="s">
        <v>114</v>
      </c>
      <c r="C79" s="5">
        <f>337.81-80</f>
        <v>257.81</v>
      </c>
      <c r="D79" s="5">
        <v>2.815445433289</v>
      </c>
      <c r="E79" s="46" t="s">
        <v>7</v>
      </c>
    </row>
    <row r="80" spans="1:5">
      <c r="A80" s="3" t="s">
        <v>53</v>
      </c>
      <c r="B80" s="3" t="s">
        <v>115</v>
      </c>
      <c r="C80" s="5">
        <v>80</v>
      </c>
      <c r="D80" s="5">
        <v>2.8</v>
      </c>
      <c r="E80" s="46" t="s">
        <v>7</v>
      </c>
    </row>
    <row r="81" spans="1:5">
      <c r="A81" s="3" t="s">
        <v>53</v>
      </c>
      <c r="B81" s="3" t="s">
        <v>116</v>
      </c>
      <c r="C81" s="5">
        <v>80</v>
      </c>
      <c r="D81" s="5">
        <v>2.8</v>
      </c>
      <c r="E81" s="46" t="s">
        <v>7</v>
      </c>
    </row>
    <row r="82" spans="1:5">
      <c r="A82" s="3" t="s">
        <v>53</v>
      </c>
      <c r="B82" s="3" t="s">
        <v>117</v>
      </c>
      <c r="C82" s="5">
        <v>267.87</v>
      </c>
      <c r="D82" s="5">
        <v>2.815445433289</v>
      </c>
      <c r="E82" s="46" t="s">
        <v>7</v>
      </c>
    </row>
    <row r="83" spans="1:5">
      <c r="A83" s="3" t="s">
        <v>53</v>
      </c>
      <c r="B83" s="3" t="s">
        <v>118</v>
      </c>
      <c r="C83" s="5">
        <v>239.69</v>
      </c>
      <c r="D83" s="5">
        <v>3.054022803289</v>
      </c>
      <c r="E83" s="46" t="s">
        <v>18</v>
      </c>
    </row>
    <row r="84" spans="1:5">
      <c r="A84" s="3" t="s">
        <v>53</v>
      </c>
      <c r="B84" s="3" t="s">
        <v>119</v>
      </c>
      <c r="C84" s="5">
        <v>307.16</v>
      </c>
      <c r="D84" s="5">
        <v>3.03</v>
      </c>
      <c r="E84" s="46" t="s">
        <v>7</v>
      </c>
    </row>
    <row r="85" spans="1:5">
      <c r="A85" s="3" t="s">
        <v>53</v>
      </c>
      <c r="B85" s="3" t="s">
        <v>120</v>
      </c>
      <c r="C85" s="5">
        <v>360.19</v>
      </c>
      <c r="D85" s="5">
        <v>2.945445433289</v>
      </c>
      <c r="E85" s="46" t="s">
        <v>7</v>
      </c>
    </row>
    <row r="86" spans="1:5">
      <c r="A86" s="3" t="s">
        <v>53</v>
      </c>
      <c r="B86" s="3" t="s">
        <v>121</v>
      </c>
      <c r="C86" s="5">
        <v>187.87</v>
      </c>
      <c r="D86" s="5">
        <v>2.984022803289</v>
      </c>
      <c r="E86" s="46" t="s">
        <v>18</v>
      </c>
    </row>
    <row r="87" spans="1:5">
      <c r="A87" s="3" t="s">
        <v>53</v>
      </c>
      <c r="B87" s="3" t="s">
        <v>122</v>
      </c>
      <c r="C87" s="5">
        <v>160</v>
      </c>
      <c r="D87" s="5">
        <v>2.975445433289</v>
      </c>
      <c r="E87" s="46" t="s">
        <v>7</v>
      </c>
    </row>
    <row r="88" spans="1:5">
      <c r="A88" s="3" t="s">
        <v>53</v>
      </c>
      <c r="B88" s="3" t="s">
        <v>123</v>
      </c>
      <c r="C88" s="5">
        <v>201.26</v>
      </c>
      <c r="D88" s="5">
        <v>2.81</v>
      </c>
      <c r="E88" s="46" t="s">
        <v>7</v>
      </c>
    </row>
    <row r="89" spans="1:5">
      <c r="A89" s="3" t="s">
        <v>53</v>
      </c>
      <c r="B89" s="3" t="s">
        <v>124</v>
      </c>
      <c r="C89" s="5">
        <v>269.8</v>
      </c>
      <c r="D89" s="5">
        <v>2.834022803289</v>
      </c>
      <c r="E89" s="46" t="s">
        <v>18</v>
      </c>
    </row>
    <row r="90" spans="1:5">
      <c r="A90" s="3" t="s">
        <v>53</v>
      </c>
      <c r="B90" s="3" t="s">
        <v>125</v>
      </c>
      <c r="C90" s="5">
        <v>80</v>
      </c>
      <c r="D90" s="5">
        <v>2.825445433289</v>
      </c>
      <c r="E90" s="46" t="s">
        <v>7</v>
      </c>
    </row>
    <row r="91" spans="1:5">
      <c r="A91" s="3" t="s">
        <v>53</v>
      </c>
      <c r="B91" s="3" t="s">
        <v>126</v>
      </c>
      <c r="C91" s="5">
        <v>280.19</v>
      </c>
      <c r="D91" s="5">
        <v>2.834022803289</v>
      </c>
      <c r="E91" s="46" t="s">
        <v>18</v>
      </c>
    </row>
    <row r="92" spans="1:5">
      <c r="A92" s="3" t="s">
        <v>53</v>
      </c>
      <c r="B92" s="3" t="s">
        <v>127</v>
      </c>
      <c r="C92" s="5">
        <v>401.05</v>
      </c>
      <c r="D92" s="5">
        <v>3.014022803289</v>
      </c>
      <c r="E92" s="46" t="s">
        <v>18</v>
      </c>
    </row>
    <row r="93" spans="1:5">
      <c r="A93" s="3" t="s">
        <v>53</v>
      </c>
      <c r="B93" s="3" t="s">
        <v>128</v>
      </c>
      <c r="C93" s="5">
        <v>342.15</v>
      </c>
      <c r="D93" s="5">
        <v>3.054022803289</v>
      </c>
      <c r="E93" s="46" t="s">
        <v>18</v>
      </c>
    </row>
    <row r="94" spans="1:5">
      <c r="A94" s="56" t="s">
        <v>53</v>
      </c>
      <c r="B94" s="56" t="s">
        <v>129</v>
      </c>
      <c r="C94" s="57">
        <v>357.85</v>
      </c>
      <c r="D94" s="57">
        <v>3.034022803289</v>
      </c>
      <c r="E94" s="58" t="s">
        <v>18</v>
      </c>
    </row>
    <row r="95" spans="1:5">
      <c r="A95" s="59" t="s">
        <v>130</v>
      </c>
      <c r="B95" s="3">
        <v>101</v>
      </c>
      <c r="C95" s="5">
        <v>288.28</v>
      </c>
      <c r="D95" s="5">
        <v>3</v>
      </c>
      <c r="E95" s="46" t="s">
        <v>7</v>
      </c>
    </row>
    <row r="96" spans="1:5">
      <c r="A96" s="59" t="s">
        <v>130</v>
      </c>
      <c r="B96" s="3">
        <v>102</v>
      </c>
      <c r="C96" s="5">
        <v>108.61</v>
      </c>
      <c r="D96" s="5">
        <v>3</v>
      </c>
      <c r="E96" s="46" t="s">
        <v>7</v>
      </c>
    </row>
    <row r="97" spans="1:5">
      <c r="A97" s="59" t="s">
        <v>130</v>
      </c>
      <c r="B97" s="3">
        <v>105</v>
      </c>
      <c r="C97" s="5">
        <v>139.94</v>
      </c>
      <c r="D97" s="5">
        <v>3</v>
      </c>
      <c r="E97" s="46" t="s">
        <v>7</v>
      </c>
    </row>
    <row r="98" spans="1:5">
      <c r="A98" s="59" t="s">
        <v>130</v>
      </c>
      <c r="B98" s="59">
        <v>106</v>
      </c>
      <c r="C98" s="60">
        <v>134.12</v>
      </c>
      <c r="D98" s="5">
        <v>3</v>
      </c>
      <c r="E98" s="46" t="s">
        <v>18</v>
      </c>
    </row>
    <row r="99" spans="1:5">
      <c r="A99" s="59" t="s">
        <v>130</v>
      </c>
      <c r="B99" s="59">
        <v>107</v>
      </c>
      <c r="C99" s="60">
        <v>200</v>
      </c>
      <c r="D99" s="5">
        <v>3</v>
      </c>
      <c r="E99" s="46" t="s">
        <v>7</v>
      </c>
    </row>
    <row r="100" spans="1:5">
      <c r="A100" s="59" t="s">
        <v>131</v>
      </c>
      <c r="B100" s="59" t="s">
        <v>54</v>
      </c>
      <c r="C100" s="60">
        <v>401.84</v>
      </c>
      <c r="D100" s="5">
        <v>2.244022803289</v>
      </c>
      <c r="E100" s="46" t="s">
        <v>52</v>
      </c>
    </row>
    <row r="101" spans="1:5">
      <c r="A101" s="3" t="s">
        <v>131</v>
      </c>
      <c r="B101" s="3" t="s">
        <v>56</v>
      </c>
      <c r="C101" s="5">
        <v>514.45</v>
      </c>
      <c r="D101" s="5">
        <v>2.194022803289</v>
      </c>
      <c r="E101" s="46" t="s">
        <v>52</v>
      </c>
    </row>
    <row r="102" spans="1:5">
      <c r="A102" s="3" t="s">
        <v>131</v>
      </c>
      <c r="B102" s="3" t="s">
        <v>57</v>
      </c>
      <c r="C102" s="5">
        <v>442.68</v>
      </c>
      <c r="D102" s="5">
        <v>2.194022803289</v>
      </c>
      <c r="E102" s="46" t="s">
        <v>52</v>
      </c>
    </row>
    <row r="103" spans="1:5">
      <c r="A103" s="3" t="s">
        <v>131</v>
      </c>
      <c r="B103" s="3">
        <v>301</v>
      </c>
      <c r="C103" s="5">
        <v>359.57</v>
      </c>
      <c r="D103" s="5">
        <v>2.27</v>
      </c>
      <c r="E103" s="46" t="s">
        <v>7</v>
      </c>
    </row>
    <row r="104" spans="1:5">
      <c r="A104" s="3" t="s">
        <v>131</v>
      </c>
      <c r="B104" s="3">
        <v>302</v>
      </c>
      <c r="C104" s="5">
        <v>80.26</v>
      </c>
      <c r="D104" s="5">
        <v>2.285445433289</v>
      </c>
      <c r="E104" s="46" t="s">
        <v>7</v>
      </c>
    </row>
    <row r="105" spans="1:5">
      <c r="A105" s="3" t="s">
        <v>131</v>
      </c>
      <c r="B105" s="3">
        <v>303</v>
      </c>
      <c r="C105" s="5">
        <v>80</v>
      </c>
      <c r="D105" s="5">
        <v>2.285445433289</v>
      </c>
      <c r="E105" s="46" t="s">
        <v>7</v>
      </c>
    </row>
    <row r="106" spans="1:5">
      <c r="A106" s="3" t="s">
        <v>131</v>
      </c>
      <c r="B106" s="3">
        <v>305</v>
      </c>
      <c r="C106" s="5">
        <v>80</v>
      </c>
      <c r="D106" s="5">
        <v>2.305445433289</v>
      </c>
      <c r="E106" s="46" t="s">
        <v>7</v>
      </c>
    </row>
    <row r="107" spans="1:5">
      <c r="A107" s="3" t="s">
        <v>131</v>
      </c>
      <c r="B107" s="3">
        <v>306</v>
      </c>
      <c r="C107" s="5">
        <v>80</v>
      </c>
      <c r="D107" s="5">
        <v>2.305445433289</v>
      </c>
      <c r="E107" s="46" t="s">
        <v>7</v>
      </c>
    </row>
    <row r="108" spans="1:5">
      <c r="A108" s="3" t="s">
        <v>131</v>
      </c>
      <c r="B108" s="46" t="s">
        <v>132</v>
      </c>
      <c r="C108" s="5">
        <v>132</v>
      </c>
      <c r="D108" s="5">
        <v>2.29729139475836</v>
      </c>
      <c r="E108" s="46" t="s">
        <v>18</v>
      </c>
    </row>
    <row r="109" spans="1:5">
      <c r="A109" s="3" t="s">
        <v>131</v>
      </c>
      <c r="B109" s="5" t="s">
        <v>133</v>
      </c>
      <c r="C109" s="5">
        <v>67</v>
      </c>
      <c r="D109" s="5">
        <v>2.305445433289</v>
      </c>
      <c r="E109" s="46" t="s">
        <v>7</v>
      </c>
    </row>
    <row r="110" spans="1:5">
      <c r="A110" s="3" t="s">
        <v>131</v>
      </c>
      <c r="B110" s="59" t="s">
        <v>134</v>
      </c>
      <c r="C110" s="60">
        <v>280</v>
      </c>
      <c r="D110" s="5">
        <v>2.295445433289</v>
      </c>
      <c r="E110" s="46" t="s">
        <v>7</v>
      </c>
    </row>
    <row r="111" spans="1:5">
      <c r="A111" s="3" t="s">
        <v>131</v>
      </c>
      <c r="B111" s="59" t="s">
        <v>135</v>
      </c>
      <c r="C111" s="60">
        <v>106.65</v>
      </c>
      <c r="D111" s="5">
        <v>2.295445433289</v>
      </c>
      <c r="E111" s="46" t="s">
        <v>7</v>
      </c>
    </row>
    <row r="112" spans="1:5">
      <c r="A112" s="3" t="s">
        <v>131</v>
      </c>
      <c r="B112" s="61">
        <v>309</v>
      </c>
      <c r="C112" s="5">
        <v>80</v>
      </c>
      <c r="D112" s="5">
        <v>2.295445433289</v>
      </c>
      <c r="E112" s="46" t="s">
        <v>7</v>
      </c>
    </row>
    <row r="113" spans="1:5">
      <c r="A113" s="3" t="s">
        <v>131</v>
      </c>
      <c r="B113" s="62">
        <v>310</v>
      </c>
      <c r="C113" s="5">
        <v>77</v>
      </c>
      <c r="D113" s="5">
        <v>2.19104759837695</v>
      </c>
      <c r="E113" s="46" t="s">
        <v>7</v>
      </c>
    </row>
    <row r="114" spans="1:5">
      <c r="A114" s="3" t="s">
        <v>131</v>
      </c>
      <c r="B114" s="62">
        <v>311</v>
      </c>
      <c r="C114" s="5">
        <v>152.87</v>
      </c>
      <c r="D114" s="5">
        <v>2.20359550698673</v>
      </c>
      <c r="E114" s="46" t="s">
        <v>18</v>
      </c>
    </row>
    <row r="115" spans="1:5">
      <c r="A115" s="3" t="s">
        <v>131</v>
      </c>
      <c r="B115" s="3" t="s">
        <v>66</v>
      </c>
      <c r="C115" s="5">
        <v>516.31</v>
      </c>
      <c r="D115" s="5">
        <v>2.334022803289</v>
      </c>
      <c r="E115" s="46" t="s">
        <v>18</v>
      </c>
    </row>
    <row r="116" spans="1:5">
      <c r="A116" s="3" t="s">
        <v>131</v>
      </c>
      <c r="B116" s="3" t="s">
        <v>67</v>
      </c>
      <c r="C116" s="5">
        <v>422.5</v>
      </c>
      <c r="D116" s="5">
        <v>2.384022803289</v>
      </c>
      <c r="E116" s="46" t="s">
        <v>18</v>
      </c>
    </row>
    <row r="117" spans="1:5">
      <c r="A117" s="3" t="s">
        <v>131</v>
      </c>
      <c r="B117" s="3" t="s">
        <v>68</v>
      </c>
      <c r="C117" s="5">
        <v>517.8</v>
      </c>
      <c r="D117" s="5">
        <v>2.324022803289</v>
      </c>
      <c r="E117" s="46" t="s">
        <v>18</v>
      </c>
    </row>
    <row r="118" spans="1:5">
      <c r="A118" s="3" t="s">
        <v>131</v>
      </c>
      <c r="B118" s="3" t="s">
        <v>70</v>
      </c>
      <c r="C118" s="5">
        <v>479</v>
      </c>
      <c r="D118" s="5">
        <v>2.394022803289</v>
      </c>
      <c r="E118" s="46" t="s">
        <v>18</v>
      </c>
    </row>
    <row r="119" spans="1:5">
      <c r="A119" s="3" t="s">
        <v>131</v>
      </c>
      <c r="B119" s="3" t="s">
        <v>136</v>
      </c>
      <c r="C119" s="5">
        <v>520.202914174261</v>
      </c>
      <c r="D119" s="5">
        <v>2.48783240001047</v>
      </c>
      <c r="E119" s="46" t="s">
        <v>18</v>
      </c>
    </row>
    <row r="120" spans="1:5">
      <c r="A120" s="3" t="s">
        <v>131</v>
      </c>
      <c r="B120" s="3" t="s">
        <v>137</v>
      </c>
      <c r="C120" s="5">
        <v>418.589670212693</v>
      </c>
      <c r="D120" s="5">
        <v>2.64080536920898</v>
      </c>
      <c r="E120" s="46" t="s">
        <v>18</v>
      </c>
    </row>
    <row r="121" spans="1:5">
      <c r="A121" s="3" t="s">
        <v>131</v>
      </c>
      <c r="B121" s="3" t="s">
        <v>81</v>
      </c>
      <c r="C121" s="5">
        <v>519.990222925781</v>
      </c>
      <c r="D121" s="5">
        <v>2.48783240001047</v>
      </c>
      <c r="E121" s="46" t="s">
        <v>18</v>
      </c>
    </row>
    <row r="122" spans="1:5">
      <c r="A122" s="3" t="s">
        <v>131</v>
      </c>
      <c r="B122" s="3" t="s">
        <v>138</v>
      </c>
      <c r="C122" s="5">
        <v>476.827192687265</v>
      </c>
      <c r="D122" s="5">
        <v>2.48783240001047</v>
      </c>
      <c r="E122" s="46" t="s">
        <v>18</v>
      </c>
    </row>
    <row r="123" spans="1:5">
      <c r="A123" s="3" t="s">
        <v>131</v>
      </c>
      <c r="B123" s="3" t="s">
        <v>139</v>
      </c>
      <c r="C123" s="5">
        <v>515.402967879733</v>
      </c>
      <c r="D123" s="5">
        <v>2.67128530600944</v>
      </c>
      <c r="E123" s="46" t="s">
        <v>18</v>
      </c>
    </row>
    <row r="124" spans="1:5">
      <c r="A124" s="3" t="s">
        <v>131</v>
      </c>
      <c r="B124" s="3" t="s">
        <v>90</v>
      </c>
      <c r="C124" s="5">
        <v>414.727315962612</v>
      </c>
      <c r="D124" s="5">
        <v>2.90288171501243</v>
      </c>
      <c r="E124" s="46" t="s">
        <v>18</v>
      </c>
    </row>
    <row r="125" spans="1:5">
      <c r="A125" s="3" t="s">
        <v>131</v>
      </c>
      <c r="B125" s="3" t="s">
        <v>91</v>
      </c>
      <c r="C125" s="5">
        <v>515.192239147305</v>
      </c>
      <c r="D125" s="5">
        <v>2.51688770000745</v>
      </c>
      <c r="E125" s="46" t="s">
        <v>18</v>
      </c>
    </row>
    <row r="126" spans="1:5">
      <c r="A126" s="3" t="s">
        <v>131</v>
      </c>
      <c r="B126" s="3" t="s">
        <v>92</v>
      </c>
      <c r="C126" s="5">
        <v>472.42747701035</v>
      </c>
      <c r="D126" s="5">
        <v>2.67128530600943</v>
      </c>
      <c r="E126" s="46" t="s">
        <v>18</v>
      </c>
    </row>
    <row r="127" spans="1:5">
      <c r="A127" s="3" t="s">
        <v>131</v>
      </c>
      <c r="B127" s="62">
        <v>716</v>
      </c>
      <c r="C127" s="63">
        <v>88</v>
      </c>
      <c r="D127" s="5">
        <v>2.61617688166994</v>
      </c>
      <c r="E127" s="46" t="s">
        <v>18</v>
      </c>
    </row>
    <row r="128" spans="1:5">
      <c r="A128" s="3" t="s">
        <v>131</v>
      </c>
      <c r="B128" s="62" t="s">
        <v>140</v>
      </c>
      <c r="C128" s="63">
        <v>66</v>
      </c>
      <c r="D128" s="5">
        <v>2.61617688166994</v>
      </c>
      <c r="E128" s="55" t="s">
        <v>18</v>
      </c>
    </row>
    <row r="129" spans="1:5">
      <c r="A129" s="3" t="s">
        <v>131</v>
      </c>
      <c r="B129" s="62" t="s">
        <v>141</v>
      </c>
      <c r="C129" s="5">
        <v>88</v>
      </c>
      <c r="D129" s="5">
        <v>2.61617688166994</v>
      </c>
      <c r="E129" s="55" t="s">
        <v>18</v>
      </c>
    </row>
    <row r="130" spans="1:5">
      <c r="A130" s="3" t="s">
        <v>131</v>
      </c>
      <c r="B130" s="62">
        <v>702</v>
      </c>
      <c r="C130" s="5">
        <v>117.63</v>
      </c>
      <c r="D130" s="5">
        <v>2.595445433289</v>
      </c>
      <c r="E130" s="46" t="s">
        <v>7</v>
      </c>
    </row>
    <row r="131" spans="1:5">
      <c r="A131" s="3" t="s">
        <v>131</v>
      </c>
      <c r="B131" s="62">
        <v>703</v>
      </c>
      <c r="C131" s="5">
        <v>119</v>
      </c>
      <c r="D131" s="5">
        <v>2.595445433289</v>
      </c>
      <c r="E131" s="46" t="s">
        <v>7</v>
      </c>
    </row>
    <row r="132" spans="1:5">
      <c r="A132" s="3" t="s">
        <v>131</v>
      </c>
      <c r="B132" s="62">
        <v>704</v>
      </c>
      <c r="C132" s="5">
        <v>86</v>
      </c>
      <c r="D132" s="5">
        <v>2.625445433289</v>
      </c>
      <c r="E132" s="46" t="s">
        <v>7</v>
      </c>
    </row>
    <row r="133" spans="1:5">
      <c r="A133" s="3" t="s">
        <v>131</v>
      </c>
      <c r="B133" s="62">
        <v>705</v>
      </c>
      <c r="C133" s="5">
        <v>112.31</v>
      </c>
      <c r="D133" s="5">
        <v>2.625445433289</v>
      </c>
      <c r="E133" s="46" t="s">
        <v>7</v>
      </c>
    </row>
    <row r="134" spans="1:5">
      <c r="A134" s="3" t="s">
        <v>131</v>
      </c>
      <c r="B134" s="62">
        <v>706</v>
      </c>
      <c r="C134" s="5">
        <v>230.06</v>
      </c>
      <c r="D134" s="5">
        <v>2.625445433289</v>
      </c>
      <c r="E134" s="46" t="s">
        <v>7</v>
      </c>
    </row>
    <row r="135" spans="1:5">
      <c r="A135" s="3" t="s">
        <v>131</v>
      </c>
      <c r="B135" s="62">
        <v>715</v>
      </c>
      <c r="C135" s="5">
        <v>76</v>
      </c>
      <c r="D135" s="5">
        <v>2.61617688166994</v>
      </c>
      <c r="E135" s="46" t="s">
        <v>18</v>
      </c>
    </row>
    <row r="136" spans="1:5">
      <c r="A136" s="3" t="s">
        <v>131</v>
      </c>
      <c r="B136" s="62">
        <v>713</v>
      </c>
      <c r="C136" s="5">
        <v>95</v>
      </c>
      <c r="D136" s="5">
        <v>2.61617688166994</v>
      </c>
      <c r="E136" s="46" t="s">
        <v>18</v>
      </c>
    </row>
    <row r="137" spans="1:5">
      <c r="A137" s="3" t="s">
        <v>131</v>
      </c>
      <c r="B137" s="62">
        <v>712</v>
      </c>
      <c r="C137" s="5">
        <v>151.24</v>
      </c>
      <c r="D137" s="5">
        <v>2.61617688166994</v>
      </c>
      <c r="E137" s="46" t="s">
        <v>18</v>
      </c>
    </row>
    <row r="138" spans="1:5">
      <c r="A138" s="3" t="s">
        <v>131</v>
      </c>
      <c r="B138" s="62">
        <v>711</v>
      </c>
      <c r="C138" s="5">
        <v>151.24</v>
      </c>
      <c r="D138" s="5">
        <v>2.61617688166994</v>
      </c>
      <c r="E138" s="46" t="s">
        <v>18</v>
      </c>
    </row>
    <row r="139" spans="1:5">
      <c r="A139" s="3" t="s">
        <v>131</v>
      </c>
      <c r="B139" s="62">
        <v>710</v>
      </c>
      <c r="C139" s="5">
        <v>160</v>
      </c>
      <c r="D139" s="5">
        <v>2.640445433289</v>
      </c>
      <c r="E139" s="46" t="s">
        <v>7</v>
      </c>
    </row>
    <row r="140" spans="1:5">
      <c r="A140" s="3" t="s">
        <v>131</v>
      </c>
      <c r="B140" s="62">
        <v>709</v>
      </c>
      <c r="C140" s="5">
        <v>96.1538461538461</v>
      </c>
      <c r="D140" s="5">
        <v>2.674022803289</v>
      </c>
      <c r="E140" s="46" t="s">
        <v>18</v>
      </c>
    </row>
    <row r="141" spans="1:5">
      <c r="A141" s="3" t="s">
        <v>131</v>
      </c>
      <c r="B141" s="62">
        <v>708</v>
      </c>
      <c r="C141" s="5">
        <v>142.146153846154</v>
      </c>
      <c r="D141" s="5">
        <v>2.674022803289</v>
      </c>
      <c r="E141" s="46" t="s">
        <v>18</v>
      </c>
    </row>
    <row r="142" spans="1:5">
      <c r="A142" s="3" t="s">
        <v>131</v>
      </c>
      <c r="B142" s="62">
        <v>707</v>
      </c>
      <c r="C142" s="5">
        <v>105</v>
      </c>
      <c r="D142" s="5">
        <v>2.674022803289</v>
      </c>
      <c r="E142" s="55" t="s">
        <v>18</v>
      </c>
    </row>
    <row r="143" spans="1:5">
      <c r="A143" s="3" t="s">
        <v>131</v>
      </c>
      <c r="B143" s="64">
        <v>801</v>
      </c>
      <c r="C143" s="5">
        <v>442.810056129571</v>
      </c>
      <c r="D143" s="5">
        <v>2.68324787191709</v>
      </c>
      <c r="E143" s="46" t="s">
        <v>18</v>
      </c>
    </row>
    <row r="144" spans="1:5">
      <c r="A144" s="3" t="s">
        <v>131</v>
      </c>
      <c r="B144" s="64">
        <v>802</v>
      </c>
      <c r="C144" s="5">
        <v>415.199222531591</v>
      </c>
      <c r="D144" s="5">
        <v>2.9931614090698</v>
      </c>
      <c r="E144" s="46" t="s">
        <v>18</v>
      </c>
    </row>
    <row r="145" spans="1:5">
      <c r="A145" s="3" t="s">
        <v>131</v>
      </c>
      <c r="B145" s="64">
        <v>803</v>
      </c>
      <c r="C145" s="5">
        <v>446.169549190922</v>
      </c>
      <c r="D145" s="5">
        <v>2.52829110334074</v>
      </c>
      <c r="E145" s="46" t="s">
        <v>18</v>
      </c>
    </row>
    <row r="146" spans="1:5">
      <c r="A146" s="3" t="s">
        <v>131</v>
      </c>
      <c r="B146" s="64">
        <v>804</v>
      </c>
      <c r="C146" s="5">
        <v>472.691172147916</v>
      </c>
      <c r="D146" s="5">
        <v>2.91568302478162</v>
      </c>
      <c r="E146" s="46" t="s">
        <v>18</v>
      </c>
    </row>
    <row r="147" spans="1:5">
      <c r="A147" s="3" t="s">
        <v>131</v>
      </c>
      <c r="B147" s="64">
        <v>901</v>
      </c>
      <c r="C147" s="5">
        <v>498.835364716125</v>
      </c>
      <c r="D147" s="5">
        <v>2.93038546521926</v>
      </c>
      <c r="E147" s="46" t="s">
        <v>18</v>
      </c>
    </row>
    <row r="148" spans="1:5">
      <c r="A148" s="3" t="s">
        <v>131</v>
      </c>
      <c r="B148" s="64">
        <v>902</v>
      </c>
      <c r="C148" s="5">
        <v>336.500870592625</v>
      </c>
      <c r="D148" s="5">
        <v>2.93038546521926</v>
      </c>
      <c r="E148" s="46" t="s">
        <v>18</v>
      </c>
    </row>
    <row r="149" spans="1:5">
      <c r="A149" s="3" t="s">
        <v>131</v>
      </c>
      <c r="B149" s="64">
        <v>903</v>
      </c>
      <c r="C149" s="5">
        <v>487.484236054972</v>
      </c>
      <c r="D149" s="5">
        <v>2.85424873562123</v>
      </c>
      <c r="E149" s="46" t="s">
        <v>18</v>
      </c>
    </row>
    <row r="150" spans="1:5">
      <c r="A150" s="3" t="s">
        <v>131</v>
      </c>
      <c r="B150" s="64">
        <v>904</v>
      </c>
      <c r="C150" s="5">
        <v>395.179528636279</v>
      </c>
      <c r="D150" s="5">
        <v>2.85424873562123</v>
      </c>
      <c r="E150" s="46" t="s">
        <v>18</v>
      </c>
    </row>
    <row r="151" spans="1:5">
      <c r="A151" s="3" t="s">
        <v>131</v>
      </c>
      <c r="B151" s="64">
        <v>1001</v>
      </c>
      <c r="C151" s="5">
        <v>463.199611117008</v>
      </c>
      <c r="D151" s="5">
        <v>2.91677481948528</v>
      </c>
      <c r="E151" s="46" t="s">
        <v>18</v>
      </c>
    </row>
    <row r="152" spans="1:5">
      <c r="A152" s="3" t="s">
        <v>131</v>
      </c>
      <c r="B152" s="64">
        <v>1002</v>
      </c>
      <c r="C152" s="5">
        <v>337.885167661395</v>
      </c>
      <c r="D152" s="5">
        <v>2.91677481948528</v>
      </c>
      <c r="E152" s="46" t="s">
        <v>18</v>
      </c>
    </row>
    <row r="153" spans="1:5">
      <c r="A153" s="3" t="s">
        <v>131</v>
      </c>
      <c r="B153" s="64">
        <v>1003</v>
      </c>
      <c r="C153" s="5">
        <v>444.110205096384</v>
      </c>
      <c r="D153" s="5">
        <v>2.76508308809756</v>
      </c>
      <c r="E153" s="46" t="s">
        <v>18</v>
      </c>
    </row>
    <row r="154" spans="1:5">
      <c r="A154" s="3" t="s">
        <v>131</v>
      </c>
      <c r="B154" s="64">
        <v>1004</v>
      </c>
      <c r="C154" s="5">
        <v>396.695016125213</v>
      </c>
      <c r="D154" s="5">
        <v>2.76508308809756</v>
      </c>
      <c r="E154" s="46" t="s">
        <v>18</v>
      </c>
    </row>
    <row r="155" spans="1:5">
      <c r="A155" s="3" t="s">
        <v>131</v>
      </c>
      <c r="B155" s="64">
        <v>1101</v>
      </c>
      <c r="C155" s="5">
        <v>381.222144613871</v>
      </c>
      <c r="D155" s="5">
        <v>2.89583451802031</v>
      </c>
      <c r="E155" s="46" t="s">
        <v>18</v>
      </c>
    </row>
    <row r="156" spans="1:5">
      <c r="A156" s="3" t="s">
        <v>131</v>
      </c>
      <c r="B156" s="64">
        <v>1102</v>
      </c>
      <c r="C156" s="5">
        <v>339.67472941913</v>
      </c>
      <c r="D156" s="5">
        <v>2.89583451802031</v>
      </c>
      <c r="E156" s="46" t="s">
        <v>18</v>
      </c>
    </row>
    <row r="157" spans="1:5">
      <c r="A157" s="3" t="s">
        <v>131</v>
      </c>
      <c r="B157" s="64">
        <v>1103</v>
      </c>
      <c r="C157" s="5">
        <v>387.789360193176</v>
      </c>
      <c r="D157" s="5">
        <v>2.89583451802031</v>
      </c>
      <c r="E157" s="46" t="s">
        <v>18</v>
      </c>
    </row>
    <row r="158" spans="1:5">
      <c r="A158" s="3" t="s">
        <v>131</v>
      </c>
      <c r="B158" s="64">
        <v>1104</v>
      </c>
      <c r="C158" s="5">
        <v>399.143765773823</v>
      </c>
      <c r="D158" s="5">
        <v>2.74503775380834</v>
      </c>
      <c r="E158" s="46" t="s">
        <v>18</v>
      </c>
    </row>
    <row r="159" spans="1:5">
      <c r="A159" s="3" t="s">
        <v>131</v>
      </c>
      <c r="B159" s="64">
        <v>1201</v>
      </c>
      <c r="C159" s="5">
        <v>353.156631847134</v>
      </c>
      <c r="D159" s="5">
        <v>2.85234602253382</v>
      </c>
      <c r="E159" s="46" t="s">
        <v>18</v>
      </c>
    </row>
    <row r="160" spans="1:5">
      <c r="A160" s="3" t="s">
        <v>131</v>
      </c>
      <c r="B160" s="64">
        <v>1202</v>
      </c>
      <c r="C160" s="5">
        <v>343.913337957065</v>
      </c>
      <c r="D160" s="5">
        <v>2.92681514662371</v>
      </c>
      <c r="E160" s="46" t="s">
        <v>18</v>
      </c>
    </row>
    <row r="161" spans="1:5">
      <c r="A161" s="3" t="s">
        <v>131</v>
      </c>
      <c r="B161" s="64">
        <v>1203</v>
      </c>
      <c r="C161" s="5">
        <v>345.715575465912</v>
      </c>
      <c r="D161" s="5">
        <v>2.77787689844393</v>
      </c>
      <c r="E161" s="46" t="s">
        <v>18</v>
      </c>
    </row>
    <row r="162" spans="1:5">
      <c r="A162" s="3" t="s">
        <v>131</v>
      </c>
      <c r="B162" s="64">
        <v>1204</v>
      </c>
      <c r="C162" s="5">
        <v>404.124454729889</v>
      </c>
      <c r="D162" s="5">
        <v>2.85234602253382</v>
      </c>
      <c r="E162" s="46" t="s">
        <v>18</v>
      </c>
    </row>
    <row r="163" spans="1:5">
      <c r="A163" s="3" t="s">
        <v>131</v>
      </c>
      <c r="B163" s="64">
        <v>1301</v>
      </c>
      <c r="C163" s="5">
        <v>571.808675633091</v>
      </c>
      <c r="D163" s="5">
        <v>2.95710920817558</v>
      </c>
      <c r="E163" s="46" t="s">
        <v>18</v>
      </c>
    </row>
    <row r="164" spans="1:5">
      <c r="A164" s="3" t="s">
        <v>131</v>
      </c>
      <c r="B164" s="64">
        <v>1302</v>
      </c>
      <c r="C164" s="5">
        <v>341.660997394519</v>
      </c>
      <c r="D164" s="5">
        <v>2.88200631596993</v>
      </c>
      <c r="E164" s="46" t="s">
        <v>18</v>
      </c>
    </row>
    <row r="165" spans="1:5">
      <c r="A165" s="3" t="s">
        <v>131</v>
      </c>
      <c r="B165" s="64">
        <v>1303</v>
      </c>
      <c r="C165" s="5">
        <v>401.12032697239</v>
      </c>
      <c r="D165" s="5">
        <v>2.88200631596993</v>
      </c>
      <c r="E165" s="46" t="s">
        <v>18</v>
      </c>
    </row>
    <row r="166" spans="1:5">
      <c r="A166" s="3" t="s">
        <v>131</v>
      </c>
      <c r="B166" s="64">
        <v>1401</v>
      </c>
      <c r="C166" s="5">
        <v>1148.4</v>
      </c>
      <c r="D166" s="5">
        <v>3.064022803289</v>
      </c>
      <c r="E166" s="46" t="s">
        <v>18</v>
      </c>
    </row>
    <row r="167" spans="1:5">
      <c r="A167" s="3" t="s">
        <v>131</v>
      </c>
      <c r="B167" s="64">
        <v>1501</v>
      </c>
      <c r="C167" s="5">
        <v>1020.67</v>
      </c>
      <c r="D167" s="5">
        <v>3.114022803289</v>
      </c>
      <c r="E167" s="46" t="s">
        <v>18</v>
      </c>
    </row>
    <row r="168" spans="1:5">
      <c r="A168" s="3" t="s">
        <v>131</v>
      </c>
      <c r="B168" s="64">
        <v>1601</v>
      </c>
      <c r="C168" s="5">
        <v>885.44</v>
      </c>
      <c r="D168" s="5">
        <v>3.14</v>
      </c>
      <c r="E168" s="46" t="s">
        <v>7</v>
      </c>
    </row>
    <row r="169" spans="1:5">
      <c r="A169" s="3" t="s">
        <v>131</v>
      </c>
      <c r="B169" s="65">
        <v>1701</v>
      </c>
      <c r="C169" s="5">
        <v>820.61</v>
      </c>
      <c r="D169" s="5">
        <v>5.524022803289</v>
      </c>
      <c r="E169" s="46" t="s">
        <v>18</v>
      </c>
    </row>
    <row r="170" spans="1:5">
      <c r="A170" s="3"/>
      <c r="B170" s="3"/>
      <c r="C170" s="45">
        <f>SUM(C2:C169)</f>
        <v>40291.07</v>
      </c>
      <c r="D170" s="5" cm="1">
        <f t="array" ref="D170">SUMPRODUCT(C2:C169,D2:D169)</f>
        <v>109173.050996027</v>
      </c>
      <c r="E170" s="66"/>
    </row>
  </sheetData>
  <mergeCells count="10">
    <mergeCell ref="G2:J2"/>
    <mergeCell ref="G15:I15"/>
    <mergeCell ref="I17:N17"/>
    <mergeCell ref="H18:I18"/>
    <mergeCell ref="M18:N18"/>
    <mergeCell ref="H19:I19"/>
    <mergeCell ref="H20:I20"/>
    <mergeCell ref="G18:G19"/>
    <mergeCell ref="L19:L20"/>
    <mergeCell ref="M19:N20"/>
  </mergeCells>
  <conditionalFormatting sqref="B110">
    <cfRule type="duplicateValues" dxfId="0" priority="2"/>
  </conditionalFormatting>
  <conditionalFormatting sqref="B111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租决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</dc:creator>
  <cp:lastModifiedBy>WangYong</cp:lastModifiedBy>
  <dcterms:created xsi:type="dcterms:W3CDTF">2026-05-08T16:08:40Z</dcterms:created>
  <dcterms:modified xsi:type="dcterms:W3CDTF">2026-05-08T16:12:51Z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6AFA8D0AE8ECAB6B089AFD697112E797_41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